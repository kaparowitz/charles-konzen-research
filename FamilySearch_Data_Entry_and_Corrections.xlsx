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sons" sheetId="1" state="visible" r:id="rId1"/>
    <sheet xmlns:r="http://schemas.openxmlformats.org/officeDocument/2006/relationships" name="FS Corrections Needed" sheetId="2" state="visible" r:id="rId2"/>
    <sheet xmlns:r="http://schemas.openxmlformats.org/officeDocument/2006/relationships" name="Children - Andreas Konze 1795" sheetId="3" state="visible" r:id="rId3"/>
    <sheet xmlns:r="http://schemas.openxmlformats.org/officeDocument/2006/relationships" name="Children - Johannes Herwig" sheetId="4" state="visible" r:id="rId4"/>
    <sheet xmlns:r="http://schemas.openxmlformats.org/officeDocument/2006/relationships" name="Source Key" sheetId="5" state="visible" r:id="rId5"/>
    <sheet xmlns:r="http://schemas.openxmlformats.org/officeDocument/2006/relationships" name="Trendelburg Kontze-Contze" sheetId="6" state="visible" r:id="rId6"/>
    <sheet xmlns:r="http://schemas.openxmlformats.org/officeDocument/2006/relationships" name="Deisel Konze" sheetId="7" state="visible" r:id="rId7"/>
    <sheet xmlns:r="http://schemas.openxmlformats.org/officeDocument/2006/relationships" name="All Kontze Marriages" sheetId="8" state="visible" r:id="rId8"/>
    <sheet xmlns:r="http://schemas.openxmlformats.org/officeDocument/2006/relationships" name="All Kontze Burials" sheetId="9" state="visible" r:id="rId9"/>
    <sheet xmlns:r="http://schemas.openxmlformats.org/officeDocument/2006/relationships" name="All Kontze Baptisms" sheetId="10" state="visible" r:id="rId10"/>
  </sheets>
  <definedNames>
    <definedName name="_xlnm._FilterDatabase" localSheetId="0" hidden="1">'Persons'!$A$1:$S$14</definedName>
    <definedName name="_xlnm._FilterDatabase" localSheetId="1" hidden="1">'FS Corrections Needed'!$A$1:$F$11</definedName>
    <definedName name="_xlnm._FilterDatabase" localSheetId="2" hidden="1">'Children - Andreas Konze 1795'!$A$1:$H$9</definedName>
    <definedName name="_xlnm._FilterDatabase" localSheetId="3" hidden="1">'Children - Johannes Herwig'!$A$1:$H$8</definedName>
    <definedName name="_xlnm._FilterDatabase" localSheetId="4" hidden="1">'Source Key'!$A$1:$D$20</definedName>
    <definedName name="_xlnm._FilterDatabase" localSheetId="5" hidden="1">'Trendelburg Kontze-Contze'!$A$1:$O$31</definedName>
    <definedName name="_xlnm._FilterDatabase" localSheetId="6" hidden="1">'Deisel Konze'!$A$1:$P$20</definedName>
    <definedName name="_xlnm._FilterDatabase" localSheetId="7" hidden="1">'All Kontze Marriages'!$A$1:$J$16</definedName>
    <definedName name="_xlnm._FilterDatabase" localSheetId="8" hidden="1">'All Kontze Burials'!$A$1:$K$26</definedName>
    <definedName name="_xlnm._FilterDatabase" localSheetId="9" hidden="1">'All Kontze Baptisms'!$A$1:$K$17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1">
    <fill>
      <patternFill/>
    </fill>
    <fill>
      <patternFill patternType="gray125"/>
    </fill>
    <fill>
      <patternFill patternType="solid">
        <fgColor rgb="002E4057"/>
      </patternFill>
    </fill>
    <fill>
      <patternFill patternType="solid">
        <fgColor rgb="00C6EFCE"/>
      </patternFill>
    </fill>
    <fill>
      <patternFill patternType="solid">
        <fgColor rgb="00FFFF00"/>
      </patternFill>
    </fill>
    <fill>
      <patternFill patternType="solid">
        <fgColor rgb="00FF6B6B"/>
      </patternFill>
    </fill>
    <fill>
      <patternFill patternType="solid">
        <fgColor rgb="00D6E4F0"/>
      </patternFill>
    </fill>
    <fill>
      <patternFill patternType="solid">
        <fgColor rgb="00E2EFDA"/>
      </patternFill>
    </fill>
    <fill>
      <patternFill patternType="solid">
        <fgColor rgb="00FFF2CC"/>
      </patternFill>
    </fill>
    <fill>
      <patternFill patternType="solid">
        <fgColor rgb="00FCE4D6"/>
      </patternFill>
    </fill>
    <fill>
      <patternFill patternType="solid">
        <fgColor rgb="00FFC000"/>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8"/>
  <sheetViews>
    <sheetView zoomScale="90" workbookViewId="0">
      <pane ySplit="1" topLeftCell="A2" activePane="bottomLeft" state="frozen"/>
      <selection pane="bottomLeft" activeCell="A1" sqref="A1"/>
    </sheetView>
  </sheetViews>
  <sheetFormatPr baseColWidth="8" defaultRowHeight="15"/>
  <cols>
    <col width="4" customWidth="1" min="1" max="1"/>
    <col width="28" customWidth="1" min="2" max="2"/>
    <col width="14" customWidth="1" min="3" max="3"/>
    <col width="18" customWidth="1" min="4" max="4"/>
    <col width="14" customWidth="1" min="5" max="5"/>
    <col width="18" customWidth="1" min="6" max="6"/>
    <col width="22" customWidth="1" min="7" max="7"/>
    <col width="22" customWidth="1" min="8" max="8"/>
    <col width="40" customWidth="1" min="9" max="9"/>
    <col width="28" customWidth="1" min="10" max="10"/>
    <col width="22" customWidth="1" min="11" max="11"/>
    <col width="16" customWidth="1" min="12" max="12"/>
    <col width="22" customWidth="1" min="13" max="13"/>
    <col width="20" customWidth="1" min="14" max="14"/>
    <col width="28" customWidth="1" min="15" max="15"/>
    <col width="55" customWidth="1" min="16" max="16"/>
    <col width="45" customWidth="1" min="17" max="17"/>
    <col width="55" customWidth="1" min="18" max="18"/>
    <col width="65" customWidth="1" min="19" max="19"/>
  </cols>
  <sheetData>
    <row r="1">
      <c r="A1" s="1" t="inlineStr">
        <is>
          <t>#</t>
        </is>
      </c>
      <c r="B1" s="1" t="inlineStr">
        <is>
          <t>Full Name</t>
        </is>
      </c>
      <c r="C1" s="1" t="inlineStr">
        <is>
          <t>Birth Date</t>
        </is>
      </c>
      <c r="D1" s="1" t="inlineStr">
        <is>
          <t>Birth Place</t>
        </is>
      </c>
      <c r="E1" s="1" t="inlineStr">
        <is>
          <t>Death Date</t>
        </is>
      </c>
      <c r="F1" s="1" t="inlineStr">
        <is>
          <t>Death Place</t>
        </is>
      </c>
      <c r="G1" s="1" t="inlineStr">
        <is>
          <t>Father</t>
        </is>
      </c>
      <c r="H1" s="1" t="inlineStr">
        <is>
          <t>Mother</t>
        </is>
      </c>
      <c r="I1" s="1" t="inlineStr">
        <is>
          <t>Spouse(s)</t>
        </is>
      </c>
      <c r="J1" s="1" t="inlineStr">
        <is>
          <t>Marriage Date(s)</t>
        </is>
      </c>
      <c r="K1" s="1" t="inlineStr">
        <is>
          <t>Marriage Place(s)</t>
        </is>
      </c>
      <c r="L1" s="1" t="inlineStr">
        <is>
          <t>Status</t>
        </is>
      </c>
      <c r="M1" s="1" t="inlineStr">
        <is>
          <t>Occupation</t>
        </is>
      </c>
      <c r="N1" s="1" t="inlineStr">
        <is>
          <t>FamilySearch PID</t>
        </is>
      </c>
      <c r="O1" s="1" t="inlineStr">
        <is>
          <t>FS Action Needed</t>
        </is>
      </c>
      <c r="P1" s="1" t="inlineStr">
        <is>
          <t>Birth Source</t>
        </is>
      </c>
      <c r="Q1" s="1" t="inlineStr">
        <is>
          <t>Death Source</t>
        </is>
      </c>
      <c r="R1" s="1" t="inlineStr">
        <is>
          <t>Marriage Source</t>
        </is>
      </c>
      <c r="S1" s="1" t="inlineStr">
        <is>
          <t>Notes</t>
        </is>
      </c>
    </row>
    <row r="2">
      <c r="A2" s="2" t="n">
        <v>1</v>
      </c>
      <c r="B2" s="2" t="inlineStr">
        <is>
          <t>Anna Christina Heidt</t>
        </is>
      </c>
      <c r="C2" s="2" t="inlineStr">
        <is>
          <t>14 Dec 1774</t>
        </is>
      </c>
      <c r="D2" s="2" t="inlineStr">
        <is>
          <t>Trendelburg</t>
        </is>
      </c>
      <c r="E2" s="2" t="inlineStr">
        <is>
          <t>27 Oct 1846</t>
        </is>
      </c>
      <c r="F2" s="2" t="inlineStr">
        <is>
          <t>Trendelburg</t>
        </is>
      </c>
      <c r="G2" s="2" t="inlineStr">
        <is>
          <t>Unknown (Heidt)</t>
        </is>
      </c>
      <c r="H2" s="2" t="inlineStr">
        <is>
          <t>Unknown</t>
        </is>
      </c>
      <c r="I2" s="2" t="inlineStr">
        <is>
          <t>1) Johann Eckhard Herwig; 2) Johann Georg Hofmann; 3) Andreas Konze (b.1787)</t>
        </is>
      </c>
      <c r="J2" s="2" t="inlineStr">
        <is>
          <t>1) 28 May 1797; 2) 15 May 1814; 3) 5 Jun 1818</t>
        </is>
      </c>
      <c r="K2" s="2" t="inlineStr">
        <is>
          <t>1) Trendelburg; 2) Trendelburg; 3) Trendelburg</t>
        </is>
      </c>
      <c r="L2" s="2" t="inlineStr">
        <is>
          <t>Legitimate</t>
        </is>
      </c>
      <c r="M2" s="2" t="inlineStr">
        <is>
          <t>Unknown; grandfather was Hufschmidt (farrier) at Grafschaft Vorwerk</t>
        </is>
      </c>
      <c r="N2" s="2" t="inlineStr">
        <is>
          <t>LRZG-FY7</t>
        </is>
      </c>
      <c r="O2" s="4" t="inlineStr">
        <is>
          <t>UPDATE: Add 2nd spouse (Hofmann), 3rd spouse (Konze), add Charlotte Herwig as child with unknown father</t>
        </is>
      </c>
      <c r="P2" s="2" t="inlineStr">
        <is>
          <t>Peter Schrader Stammtafel (primary source, March 2026); Charlotte Herwig baptism record (April 4, 2026 correction by Peter Schrader)</t>
        </is>
      </c>
      <c r="Q2" s="2" t="inlineStr">
        <is>
          <t>Peter Schrader Stammtafel</t>
        </is>
      </c>
      <c r="R2" s="2" t="inlineStr">
        <is>
          <t>1st: Stammtafel; 2nd: Stammtafel (in 1772-1818 Archion gap); 3rd: Stammtafel</t>
        </is>
      </c>
      <c r="S2" s="2" t="inlineStr">
        <is>
          <t>Three marriages documented. Mother of Johannes Herwig (legit.) and Charlotte Herwig (illegit.). No children from 2nd or 3rd marriages.</t>
        </is>
      </c>
    </row>
    <row r="3">
      <c r="A3" s="2" t="n">
        <v>2</v>
      </c>
      <c r="B3" s="2" t="inlineStr">
        <is>
          <t>Johann Eckhard Herwig</t>
        </is>
      </c>
      <c r="C3" s="2" t="inlineStr">
        <is>
          <t>17 Dec 1766</t>
        </is>
      </c>
      <c r="D3" s="2" t="inlineStr">
        <is>
          <t>Erbsen, Lower Saxony</t>
        </is>
      </c>
      <c r="E3" s="2" t="inlineStr">
        <is>
          <t>2 Apr 1810</t>
        </is>
      </c>
      <c r="F3" s="2" t="inlineStr">
        <is>
          <t>Trendelburg</t>
        </is>
      </c>
      <c r="G3" s="2" t="inlineStr">
        <is>
          <t>Unknown (Herwig)</t>
        </is>
      </c>
      <c r="H3" s="2" t="inlineStr">
        <is>
          <t>Catharine Elisabeth née Voigt</t>
        </is>
      </c>
      <c r="I3" s="2" t="inlineStr">
        <is>
          <t>Anna Christina Heidt</t>
        </is>
      </c>
      <c r="J3" s="2" t="inlineStr">
        <is>
          <t>28 May 1797</t>
        </is>
      </c>
      <c r="K3" s="2" t="inlineStr">
        <is>
          <t>Trendelburg</t>
        </is>
      </c>
      <c r="L3" s="2" t="inlineStr">
        <is>
          <t>Legitimate</t>
        </is>
      </c>
      <c r="M3" s="2" t="inlineStr">
        <is>
          <t>Unknown</t>
        </is>
      </c>
      <c r="N3" s="2" t="inlineStr">
        <is>
          <t>KCJC-M6T</t>
        </is>
      </c>
      <c r="O3" s="4" t="inlineStr">
        <is>
          <t>CORRECT name spelling: 'Eckard' → 'Eckhard'</t>
        </is>
      </c>
      <c r="P3" s="2" t="inlineStr">
        <is>
          <t>Baptism record image: bap Johann Eckhard Herwig.jpg (baptized 21 Dec 1766, Erbsen); corrected by Peter Schrader March 2026</t>
        </is>
      </c>
      <c r="Q3" s="2" t="inlineStr">
        <is>
          <t>Peter Schrader Stammtafel; Archion Trendelburg burial register 220114</t>
        </is>
      </c>
      <c r="R3" s="2" t="inlineStr">
        <is>
          <t>Stammtafel</t>
        </is>
      </c>
      <c r="S3" s="2" t="inlineStr">
        <is>
          <t>Name was 'Eckhard' NOT 'Feckhard' (FamilySearch transcription error corrected by Peter Schrader). Born in Erbsen (~20 miles from Trendelburg). Mother: Catharine Elisabeth née Voigt (from baptism record).</t>
        </is>
      </c>
    </row>
    <row r="4">
      <c r="A4" s="2" t="n">
        <v>3</v>
      </c>
      <c r="B4" s="2" t="inlineStr">
        <is>
          <t>Charlotte Herwig</t>
        </is>
      </c>
      <c r="C4" s="2" t="inlineStr">
        <is>
          <t>3 Apr 1812</t>
        </is>
      </c>
      <c r="D4" s="2" t="inlineStr">
        <is>
          <t>Trendelburg</t>
        </is>
      </c>
      <c r="E4" s="2" t="inlineStr">
        <is>
          <t>Unknown</t>
        </is>
      </c>
      <c r="F4" s="2" t="inlineStr">
        <is>
          <t>Unknown</t>
        </is>
      </c>
      <c r="G4" s="2" t="inlineStr">
        <is>
          <t>Unknown (illegitimate)</t>
        </is>
      </c>
      <c r="H4" s="2" t="inlineStr">
        <is>
          <t>Anna Christina Heidt (widow of Joh. Eckhard Herwig)</t>
        </is>
      </c>
      <c r="I4" s="2" t="inlineStr">
        <is>
          <t>Unknown</t>
        </is>
      </c>
      <c r="J4" s="2" t="inlineStr"/>
      <c r="K4" s="2" t="inlineStr"/>
      <c r="L4" s="2" t="inlineStr">
        <is>
          <t>Illegitimate (Uneheliches Kind)</t>
        </is>
      </c>
      <c r="M4" s="2" t="inlineStr">
        <is>
          <t>Unknown</t>
        </is>
      </c>
      <c r="N4" s="2" t="inlineStr">
        <is>
          <t>Not found</t>
        </is>
      </c>
      <c r="O4" s="3" t="inlineStr">
        <is>
          <t>CREATE new person; link to mother Anna Christina Heidt</t>
        </is>
      </c>
      <c r="P4" s="2" t="inlineStr">
        <is>
          <t>Trendelburg baptism register (1773-1818, physical at Landeskirchliches Archiv Kassel); transcription corrected by Peter Schrader April 4, 2026</t>
        </is>
      </c>
      <c r="Q4" s="2" t="inlineStr">
        <is>
          <t>Not yet found</t>
        </is>
      </c>
      <c r="R4" s="2" t="inlineStr"/>
      <c r="S4" s="2" t="inlineStr">
        <is>
          <t>CRITICAL CORRECTION (April 4, 2026): Mother positively identified as Anna Christina Heidt (widow of Herwig). Illegitimate child. Born afternoon at 3 PM. Godparents: Catharina Elisabeth, wife of Joh. Herrmann Heidt (grain measurer). Grandfather: Hufschmidt (farrier) at Grafschaft Vorwerk. Half-sibling of Johannes Herwig. Candidate mother of Charles Gannsen.</t>
        </is>
      </c>
    </row>
    <row r="5">
      <c r="A5" s="2" t="n">
        <v>4</v>
      </c>
      <c r="B5" s="2" t="inlineStr">
        <is>
          <t>Johannes Herwig</t>
        </is>
      </c>
      <c r="C5" s="2" t="inlineStr">
        <is>
          <t>22 Aug 1802</t>
        </is>
      </c>
      <c r="D5" s="2" t="inlineStr">
        <is>
          <t>Trendelburg</t>
        </is>
      </c>
      <c r="E5" s="2" t="inlineStr">
        <is>
          <t>Unknown (after 1855)</t>
        </is>
      </c>
      <c r="F5" s="2" t="inlineStr">
        <is>
          <t>Plymouth, MA (probable)</t>
        </is>
      </c>
      <c r="G5" s="2" t="inlineStr">
        <is>
          <t>Johann Eckhard Herwig</t>
        </is>
      </c>
      <c r="H5" s="2" t="inlineStr">
        <is>
          <t>Anna Christina Heidt</t>
        </is>
      </c>
      <c r="I5" s="2" t="inlineStr">
        <is>
          <t>Catharine Elisabeth Grandjot</t>
        </is>
      </c>
      <c r="J5" s="2" t="inlineStr">
        <is>
          <t>18 Feb 1827</t>
        </is>
      </c>
      <c r="K5" s="2" t="inlineStr">
        <is>
          <t>Schöneberg</t>
        </is>
      </c>
      <c r="L5" s="2" t="inlineStr">
        <is>
          <t>Legitimate</t>
        </is>
      </c>
      <c r="M5" s="2" t="inlineStr">
        <is>
          <t>Bürger (citizen), Trendelburg</t>
        </is>
      </c>
      <c r="N5" s="2" t="inlineStr">
        <is>
          <t>LRZG-NML</t>
        </is>
      </c>
      <c r="O5" s="4" t="inlineStr">
        <is>
          <t>VERIFY: Add missing child Charlotte Herwig (Plymouth ~1830). Check Carl Ludwig (1829 infant) and Friedrich Wilhelm (1839-1848).</t>
        </is>
      </c>
      <c r="P5" s="2" t="inlineStr">
        <is>
          <t>Stammtafel; Archion Trendelburg KB 220108 (Carolina Philippine baptism 1837 confirms presence)</t>
        </is>
      </c>
      <c r="Q5" s="2" t="inlineStr">
        <is>
          <t>Not yet found (emigrated to USA 1854 per Grandjot genealogy report)</t>
        </is>
      </c>
      <c r="R5" s="2" t="inlineStr">
        <is>
          <t>Grandjot genealogy report (marriage 18 Feb 1827, Schöneberg)</t>
        </is>
      </c>
      <c r="S5" s="2" t="inlineStr">
        <is>
          <t>Emigrated to Plymouth, MA 1854 (Grandjot report). Had at least 8 children including Carl Louis, Charlotte (~1830), Jeanette, Maria Magdalena, Caroline, Carl Peter, Carl August Theodor. FamilySearch PID LTF1-LQY shows 1788-1855 which may be a different Johannes Herwig.</t>
        </is>
      </c>
    </row>
    <row r="6">
      <c r="A6" s="2" t="n">
        <v>5</v>
      </c>
      <c r="B6" s="2" t="inlineStr">
        <is>
          <t>Carl Louis Herwig</t>
        </is>
      </c>
      <c r="C6" s="2" t="inlineStr">
        <is>
          <t>27 Nov 1830</t>
        </is>
      </c>
      <c r="D6" s="2" t="inlineStr">
        <is>
          <t>Trendelburg</t>
        </is>
      </c>
      <c r="E6" s="2" t="inlineStr">
        <is>
          <t>Unknown</t>
        </is>
      </c>
      <c r="F6" s="2" t="inlineStr">
        <is>
          <t>Plymouth, MA (probable)</t>
        </is>
      </c>
      <c r="G6" s="2" t="inlineStr">
        <is>
          <t>Johannes Herwig</t>
        </is>
      </c>
      <c r="H6" s="2" t="inlineStr">
        <is>
          <t>Unknown (pre-Grandjot relationship)</t>
        </is>
      </c>
      <c r="I6" s="2" t="inlineStr">
        <is>
          <t>Catherine Sharda</t>
        </is>
      </c>
      <c r="J6" s="2" t="inlineStr">
        <is>
          <t>6 Oct 1855</t>
        </is>
      </c>
      <c r="K6" s="2" t="inlineStr">
        <is>
          <t>Plymouth, MA</t>
        </is>
      </c>
      <c r="L6" s="2" t="inlineStr">
        <is>
          <t>Legitimate</t>
        </is>
      </c>
      <c r="M6" s="2" t="inlineStr">
        <is>
          <t>Ropemaker</t>
        </is>
      </c>
      <c r="N6" s="2" t="inlineStr">
        <is>
          <t>Not found</t>
        </is>
      </c>
      <c r="O6" s="3" t="inlineStr">
        <is>
          <t>CREATE new person</t>
        </is>
      </c>
      <c r="P6" s="2" t="inlineStr">
        <is>
          <t>Archion Trendelburg Taufen 220108 (baptism confirmed); Stammtafel; confirmation c. 1845</t>
        </is>
      </c>
      <c r="Q6" s="2" t="inlineStr">
        <is>
          <t>Not yet found</t>
        </is>
      </c>
      <c r="R6" s="2" t="inlineStr">
        <is>
          <t>Ancestry collection 2495 (Massachusetts vital records): 'Lewes Herweg' × Catherine Sharda, 6 Oct 1855, Plymouth. Father: 'John Herweg' (= Johannes Herwig)</t>
        </is>
      </c>
      <c r="S6" s="2" t="inlineStr">
        <is>
          <t>DEFINITIVELY NOT Charles Gannsen — married in Plymouth MA, not St. Louis. Pre-Grandjot child of Johannes Herwig.</t>
        </is>
      </c>
    </row>
    <row r="7">
      <c r="A7" s="2" t="n">
        <v>6</v>
      </c>
      <c r="B7" s="2" t="inlineStr">
        <is>
          <t>Helene Herwig</t>
        </is>
      </c>
      <c r="C7" s="2" t="inlineStr">
        <is>
          <t>~1835</t>
        </is>
      </c>
      <c r="D7" s="2" t="inlineStr">
        <is>
          <t>Trendelburg</t>
        </is>
      </c>
      <c r="E7" s="2" t="inlineStr">
        <is>
          <t>Unknown</t>
        </is>
      </c>
      <c r="F7" s="2" t="inlineStr">
        <is>
          <t>Plymouth, MA (probable)</t>
        </is>
      </c>
      <c r="G7" s="2" t="inlineStr">
        <is>
          <t>Unknown</t>
        </is>
      </c>
      <c r="H7" s="2" t="inlineStr">
        <is>
          <t>Charlotte Herwig (probable)</t>
        </is>
      </c>
      <c r="I7" s="2" t="inlineStr"/>
      <c r="J7" s="2" t="inlineStr"/>
      <c r="K7" s="2" t="inlineStr"/>
      <c r="L7" s="2" t="inlineStr">
        <is>
          <t>Single (unmarried at emigration)</t>
        </is>
      </c>
      <c r="M7" s="2" t="inlineStr">
        <is>
          <t>Unknown</t>
        </is>
      </c>
      <c r="N7" s="2" t="inlineStr">
        <is>
          <t>Not found</t>
        </is>
      </c>
      <c r="O7" s="3" t="inlineStr">
        <is>
          <t>CREATE new person; link to mother Charlotte Herwig</t>
        </is>
      </c>
      <c r="P7" s="2" t="inlineStr">
        <is>
          <t>FamilySearch collection 1068: 'Hlem Herwig', age 20, residence Trendelburg, ship Republic from Bremen, arrived 25 Sep 1855, destination Plymouth MA</t>
        </is>
      </c>
      <c r="Q7" s="2" t="inlineStr">
        <is>
          <t>Not yet found</t>
        </is>
      </c>
      <c r="R7" s="2" t="inlineStr"/>
      <c r="S7" s="2" t="inlineStr">
        <is>
          <t>Daughter of Charlotte Herwig (probable). Emigrated to join Herwig family cluster in Plymouth MA. Listed in Grandjot genealogy report as 'Helene Herwig (single, not married) from Trendelburg emigrated separately in 1855'.</t>
        </is>
      </c>
    </row>
    <row r="8">
      <c r="A8" s="2" t="n">
        <v>7</v>
      </c>
      <c r="B8" s="2" t="inlineStr">
        <is>
          <t>Andreas Konze (Stammtafel)</t>
        </is>
      </c>
      <c r="C8" s="2" t="inlineStr">
        <is>
          <t>9 Mar 1787</t>
        </is>
      </c>
      <c r="D8" s="2" t="inlineStr">
        <is>
          <t>Trendelburg</t>
        </is>
      </c>
      <c r="E8" s="2" t="inlineStr">
        <is>
          <t>13 Oct 1830</t>
        </is>
      </c>
      <c r="F8" s="2" t="inlineStr">
        <is>
          <t>Trendelburg</t>
        </is>
      </c>
      <c r="G8" s="2" t="inlineStr">
        <is>
          <t>Unknown</t>
        </is>
      </c>
      <c r="H8" s="2" t="inlineStr">
        <is>
          <t>Unknown</t>
        </is>
      </c>
      <c r="I8" s="2" t="inlineStr">
        <is>
          <t>Anna Christina Heidt</t>
        </is>
      </c>
      <c r="J8" s="2" t="inlineStr">
        <is>
          <t>5 Jun 1818</t>
        </is>
      </c>
      <c r="K8" s="2" t="inlineStr">
        <is>
          <t>Trendelburg</t>
        </is>
      </c>
      <c r="L8" s="2" t="inlineStr">
        <is>
          <t>Legitimate</t>
        </is>
      </c>
      <c r="M8" s="2" t="inlineStr">
        <is>
          <t>Unknown</t>
        </is>
      </c>
      <c r="N8" s="2" t="inlineStr">
        <is>
          <t>Not found</t>
        </is>
      </c>
      <c r="O8" s="3" t="inlineStr">
        <is>
          <t>CREATE new person</t>
        </is>
      </c>
      <c r="P8" s="2" t="inlineStr">
        <is>
          <t>Stammtafel (Peter Schrader); Archion Trendelburg burial register 220114, Image 682, Entry 4 (birth date confirmed)</t>
        </is>
      </c>
      <c r="Q8" s="2" t="inlineStr">
        <is>
          <t>Archion Trendelburg burial register 220114, Image 682, Entry 4: died 13 Oct 1830, evening 4:30 PM, buried 16 Oct 1830</t>
        </is>
      </c>
      <c r="R8" s="2" t="inlineStr">
        <is>
          <t>Stammtafel (m. 5 Jun 1818)</t>
        </is>
      </c>
      <c r="S8" s="2" t="inlineStr">
        <is>
          <t>IMPORTANT: This is NOT the same Andreas Konze who married Hofeditz (see person #8). The burial register mentioned 'Wilhelmine' as first wife but Peter Schrader's April 3, 2026 correction establishes this is a different man. Died 44 days before Carl Louis Herwig was born.</t>
        </is>
      </c>
    </row>
    <row r="9">
      <c r="A9" s="2" t="n">
        <v>8</v>
      </c>
      <c r="B9" s="2" t="inlineStr">
        <is>
          <t>Andreas Konze (son of Friedrich)</t>
        </is>
      </c>
      <c r="C9" s="2" t="inlineStr">
        <is>
          <t>17 Oct 1795</t>
        </is>
      </c>
      <c r="D9" s="2" t="inlineStr">
        <is>
          <t>Trendelburg</t>
        </is>
      </c>
      <c r="E9" s="2" t="inlineStr">
        <is>
          <t>6 Oct 1854</t>
        </is>
      </c>
      <c r="F9" s="2" t="inlineStr">
        <is>
          <t>Mainz</t>
        </is>
      </c>
      <c r="G9" s="2" t="inlineStr">
        <is>
          <t>Friedrich Konze</t>
        </is>
      </c>
      <c r="H9" s="2" t="inlineStr">
        <is>
          <t>Unknown</t>
        </is>
      </c>
      <c r="I9" s="2" t="inlineStr">
        <is>
          <t>1) Wilhelmine Hofeditz; 2) Maria Sophia Hofeditz (sister of 1st wife)</t>
        </is>
      </c>
      <c r="J9" s="2" t="inlineStr">
        <is>
          <t>1) 23 Mar 1821; 2) 16 Dec 1827</t>
        </is>
      </c>
      <c r="K9" s="2" t="inlineStr">
        <is>
          <t>1) Trendelburg; 2) Trendelburg</t>
        </is>
      </c>
      <c r="L9" s="2" t="inlineStr">
        <is>
          <t>Legitimate</t>
        </is>
      </c>
      <c r="M9" s="2" t="inlineStr">
        <is>
          <t>Unknown</t>
        </is>
      </c>
      <c r="N9" s="2" t="inlineStr">
        <is>
          <t>Not found</t>
        </is>
      </c>
      <c r="O9" s="3" t="inlineStr">
        <is>
          <t>CREATE new person</t>
        </is>
      </c>
      <c r="P9" s="2" t="inlineStr">
        <is>
          <t>Peter Schrader attachment 'Andreas Konze.pdf' (April 3, 2026 email)</t>
        </is>
      </c>
      <c r="Q9" s="2" t="inlineStr">
        <is>
          <t>Peter Schrader attachment 'Andreas Konze.pdf'</t>
        </is>
      </c>
      <c r="R9" s="2" t="inlineStr">
        <is>
          <t>1st: Peter Schrader PDF (23 Mar 1821 Trendelburg); 2nd: Archion Trendelburg Trauungen 220120 (16 Dec 1827) + Peter Schrader PDF</t>
        </is>
      </c>
      <c r="S9" s="2" t="inlineStr">
        <is>
          <t>CRITICAL: Previously confused with Stammtafel Andreas (#7) in §3.3 of research paper. Father: Friedrich Konze. Died in Mainz, not Trendelburg. Married two Hofeditz sisters (daughters of Ludwig H. and Marie Charlotte Henckel from Friedrichsfeld).</t>
        </is>
      </c>
    </row>
    <row r="10">
      <c r="A10" s="2" t="n">
        <v>9</v>
      </c>
      <c r="B10" s="2" t="inlineStr">
        <is>
          <t>Wilhelmine Hofeditz</t>
        </is>
      </c>
      <c r="C10" s="2" t="inlineStr">
        <is>
          <t>27 Aug 1803</t>
        </is>
      </c>
      <c r="D10" s="2" t="inlineStr">
        <is>
          <t>Friedrichsfeld</t>
        </is>
      </c>
      <c r="E10" s="2" t="inlineStr">
        <is>
          <t>7 Oct 1825</t>
        </is>
      </c>
      <c r="F10" s="2" t="inlineStr">
        <is>
          <t>Trendelburg</t>
        </is>
      </c>
      <c r="G10" s="2" t="inlineStr">
        <is>
          <t>Ludwig Hofeditz</t>
        </is>
      </c>
      <c r="H10" s="2" t="inlineStr">
        <is>
          <t>Marie Charlotte Henckel</t>
        </is>
      </c>
      <c r="I10" s="2" t="inlineStr">
        <is>
          <t>Andreas Konze (b. 1795, son of Friedrich)</t>
        </is>
      </c>
      <c r="J10" s="2" t="inlineStr">
        <is>
          <t>23 Mar 1821</t>
        </is>
      </c>
      <c r="K10" s="2" t="inlineStr">
        <is>
          <t>Trendelburg</t>
        </is>
      </c>
      <c r="L10" s="2" t="inlineStr">
        <is>
          <t>Legitimate</t>
        </is>
      </c>
      <c r="M10" s="2" t="inlineStr">
        <is>
          <t>Unknown</t>
        </is>
      </c>
      <c r="N10" s="2" t="inlineStr">
        <is>
          <t>Not found</t>
        </is>
      </c>
      <c r="O10" s="3" t="inlineStr">
        <is>
          <t>CREATE new person</t>
        </is>
      </c>
      <c r="P10" s="2" t="inlineStr">
        <is>
          <t>Peter Schrader attachment 'Andreas Konze.pdf'</t>
        </is>
      </c>
      <c r="Q10" s="2" t="inlineStr">
        <is>
          <t>Peter Schrader attachment 'Andreas Konze.pdf' (d. 7 Oct 1825 Trendelburg)</t>
        </is>
      </c>
      <c r="R10" s="2" t="inlineStr">
        <is>
          <t>Peter Schrader attachment 'Andreas Konze.pdf'</t>
        </is>
      </c>
      <c r="S10" s="2" t="inlineStr">
        <is>
          <t>Wife of the 1795 Andreas Konze, NOT of the Stammtafel Andreas. Three children, all died young. Parents from Friedrichsfeld.</t>
        </is>
      </c>
    </row>
    <row r="11">
      <c r="A11" s="2" t="n">
        <v>10</v>
      </c>
      <c r="B11" s="2" t="inlineStr">
        <is>
          <t>Maria Sophia Hofeditz</t>
        </is>
      </c>
      <c r="C11" s="2" t="inlineStr">
        <is>
          <t>Unknown</t>
        </is>
      </c>
      <c r="D11" s="2" t="inlineStr">
        <is>
          <t>Friedrichsfeld</t>
        </is>
      </c>
      <c r="E11" s="2" t="inlineStr">
        <is>
          <t>Unknown</t>
        </is>
      </c>
      <c r="F11" s="2" t="inlineStr">
        <is>
          <t>Unknown</t>
        </is>
      </c>
      <c r="G11" s="2" t="inlineStr">
        <is>
          <t>Ludwig Hofeditz</t>
        </is>
      </c>
      <c r="H11" s="2" t="inlineStr">
        <is>
          <t>Marie Charlotte Henckel</t>
        </is>
      </c>
      <c r="I11" s="2" t="inlineStr">
        <is>
          <t>Andreas Konze (b. 1795, son of Friedrich)</t>
        </is>
      </c>
      <c r="J11" s="2" t="inlineStr">
        <is>
          <t>16 Dec 1827</t>
        </is>
      </c>
      <c r="K11" s="2" t="inlineStr">
        <is>
          <t>Trendelburg</t>
        </is>
      </c>
      <c r="L11" s="2" t="inlineStr">
        <is>
          <t>Legitimate</t>
        </is>
      </c>
      <c r="M11" s="2" t="inlineStr">
        <is>
          <t>Unknown</t>
        </is>
      </c>
      <c r="N11" s="2" t="inlineStr">
        <is>
          <t>Not found</t>
        </is>
      </c>
      <c r="O11" s="3" t="inlineStr">
        <is>
          <t>CREATE new person</t>
        </is>
      </c>
      <c r="P11" s="2" t="inlineStr">
        <is>
          <t>Peter Schrader attachment 'Andreas Konze.pdf'</t>
        </is>
      </c>
      <c r="Q11" s="2" t="inlineStr">
        <is>
          <t>Not yet found</t>
        </is>
      </c>
      <c r="R11" s="2" t="inlineStr">
        <is>
          <t>Archion Trendelburg Trauungen 220120 (16 Dec 1827: 'Andreas Konze Witwer × Maria Sophia Hofedietz'); Peter Schrader PDF</t>
        </is>
      </c>
      <c r="S11" s="2" t="inlineStr">
        <is>
          <t>Sister of first wife Wilhelmine. Married Andreas Konze (b. 1795) after Wilhelmine's death. Five children: Maria Carolina, Justus Ernst, Heinrich Wilhelm, August, Maria Sabine. Godmother at Elisa Melusine's 1822 baptism.</t>
        </is>
      </c>
    </row>
    <row r="12">
      <c r="A12" s="2" t="n">
        <v>11</v>
      </c>
      <c r="B12" s="2" t="inlineStr">
        <is>
          <t>Charles Gannsen / Charles L. Johnson</t>
        </is>
      </c>
      <c r="C12" s="2" t="inlineStr">
        <is>
          <t>26 Jan 1835</t>
        </is>
      </c>
      <c r="D12" s="2" t="inlineStr">
        <is>
          <t>Trendelburg area (Deisel)</t>
        </is>
      </c>
      <c r="E12" s="2" t="inlineStr">
        <is>
          <t>1903</t>
        </is>
      </c>
      <c r="F12" s="2" t="inlineStr">
        <is>
          <t>St. Louis, MO</t>
        </is>
      </c>
      <c r="G12" s="2" t="inlineStr">
        <is>
          <t>Unknown</t>
        </is>
      </c>
      <c r="H12" s="2" t="inlineStr">
        <is>
          <t>Unknown (Charlotte Herwig is candidate)</t>
        </is>
      </c>
      <c r="I12" s="2" t="inlineStr">
        <is>
          <t>Caroline Juliane Auguste Kreichelt</t>
        </is>
      </c>
      <c r="J12" s="2" t="inlineStr">
        <is>
          <t>7 Jan 1866</t>
        </is>
      </c>
      <c r="K12" s="2" t="inlineStr">
        <is>
          <t>St. Marcus German Evangelical Church, St. Louis</t>
        </is>
      </c>
      <c r="L12" s="2" t="inlineStr">
        <is>
          <t>Legitimate</t>
        </is>
      </c>
      <c r="M12" s="2" t="inlineStr">
        <is>
          <t>Night Watchman; Saloon Keeper; Sergeant (Civil War)</t>
        </is>
      </c>
      <c r="N12" s="2" t="inlineStr">
        <is>
          <t>ARK LZXC-6GB (to verify)</t>
        </is>
      </c>
      <c r="O12" s="4" t="inlineStr">
        <is>
          <t>VERIFY existing entry; CORRECT any errors</t>
        </is>
      </c>
      <c r="P12" s="2" t="inlineStr">
        <is>
          <t>Pension file (birth date 26 Jan 1835); enlistment record 2 Dec 1862 ('Freundburg, Kurhessen' = Trendelburg)</t>
        </is>
      </c>
      <c r="Q12" s="2" t="inlineStr">
        <is>
          <t>Death record (FamilySearch Memory 6); obituary as 'Charles L. Johnson' (Memory 32); stomach cancer</t>
        </is>
      </c>
      <c r="R12" s="2" t="inlineStr">
        <is>
          <t>FamilySearch ARK 61903/1:1:V2DX-4HX (record #676): 'Carl Gonnson, aus Deisse, Kreis Cassel, Churhessen' × Caroline Kreichelt, 7 Jan 1866</t>
        </is>
      </c>
      <c r="S12" s="2" t="inlineStr">
        <is>
          <t>THE RESEARCH SUBJECT. Enlisted as 'L. Charles Gannsen' 2 Dec 1862. 'Gannsen' derives from Hausname 'Gans'. Marriage record confirms origin: 'Deisse' (= Deisel). Birthplace 'Freundburg' = Trendelburg (phonetic rendering).</t>
        </is>
      </c>
    </row>
    <row r="13">
      <c r="A13" s="2" t="n">
        <v>12</v>
      </c>
      <c r="B13" s="2" t="inlineStr">
        <is>
          <t>Johann Georg Hofmann</t>
        </is>
      </c>
      <c r="C13" s="2" t="inlineStr">
        <is>
          <t>Unknown</t>
        </is>
      </c>
      <c r="D13" s="2" t="inlineStr">
        <is>
          <t>Unknown</t>
        </is>
      </c>
      <c r="E13" s="2" t="inlineStr">
        <is>
          <t>7 Apr 1817</t>
        </is>
      </c>
      <c r="F13" s="2" t="inlineStr">
        <is>
          <t>Trendelburg</t>
        </is>
      </c>
      <c r="G13" s="2" t="inlineStr">
        <is>
          <t>Unknown</t>
        </is>
      </c>
      <c r="H13" s="2" t="inlineStr">
        <is>
          <t>Unknown</t>
        </is>
      </c>
      <c r="I13" s="2" t="inlineStr">
        <is>
          <t>Anna Christina Heidt</t>
        </is>
      </c>
      <c r="J13" s="2" t="inlineStr">
        <is>
          <t>15 May 1814</t>
        </is>
      </c>
      <c r="K13" s="2" t="inlineStr">
        <is>
          <t>Trendelburg</t>
        </is>
      </c>
      <c r="L13" s="2" t="inlineStr">
        <is>
          <t>Legitimate</t>
        </is>
      </c>
      <c r="M13" s="2" t="inlineStr">
        <is>
          <t>Unknown</t>
        </is>
      </c>
      <c r="N13" s="2" t="inlineStr">
        <is>
          <t>Not found</t>
        </is>
      </c>
      <c r="O13" s="3" t="inlineStr">
        <is>
          <t>CREATE new person</t>
        </is>
      </c>
      <c r="P13" s="2" t="inlineStr">
        <is>
          <t>Not yet found (in 1772-1818 Archion gap)</t>
        </is>
      </c>
      <c r="Q13" s="2" t="inlineStr">
        <is>
          <t>Stammtafel (d. 7 Apr 1817)</t>
        </is>
      </c>
      <c r="R13" s="2" t="inlineStr">
        <is>
          <t>Stammtafel (m. 15 May 1814; in 1772-1818 Archion gap)</t>
        </is>
      </c>
      <c r="S13" s="2" t="inlineStr">
        <is>
          <t>Second husband of Anna Christina Heidt. No children documented. Marriage and death both fall in the 1772-1818 gap.</t>
        </is>
      </c>
    </row>
    <row r="14">
      <c r="A14" s="2" t="n">
        <v>13</v>
      </c>
      <c r="B14" s="2" t="inlineStr">
        <is>
          <t>Catharine Elisabeth Grandjot</t>
        </is>
      </c>
      <c r="C14" s="2" t="inlineStr">
        <is>
          <t>29 Jul 1802</t>
        </is>
      </c>
      <c r="D14" s="2" t="inlineStr">
        <is>
          <t>Schöneberg</t>
        </is>
      </c>
      <c r="E14" s="2" t="inlineStr">
        <is>
          <t>Unknown</t>
        </is>
      </c>
      <c r="F14" s="2" t="inlineStr">
        <is>
          <t>USA (probable)</t>
        </is>
      </c>
      <c r="G14" s="2" t="inlineStr">
        <is>
          <t>Unknown (Grandjot)</t>
        </is>
      </c>
      <c r="H14" s="2" t="inlineStr">
        <is>
          <t>Unknown</t>
        </is>
      </c>
      <c r="I14" s="2" t="inlineStr">
        <is>
          <t>Johannes Herwig</t>
        </is>
      </c>
      <c r="J14" s="2" t="inlineStr">
        <is>
          <t>18 Feb 1827</t>
        </is>
      </c>
      <c r="K14" s="2" t="inlineStr">
        <is>
          <t>Schöneberg</t>
        </is>
      </c>
      <c r="L14" s="2" t="inlineStr">
        <is>
          <t>Legitimate</t>
        </is>
      </c>
      <c r="M14" s="2" t="inlineStr">
        <is>
          <t>Unknown</t>
        </is>
      </c>
      <c r="N14" s="2" t="inlineStr">
        <is>
          <t>LRZG-LPS</t>
        </is>
      </c>
      <c r="O14" s="4" t="inlineStr">
        <is>
          <t>VERIFY dates and details</t>
        </is>
      </c>
      <c r="P14" s="2" t="inlineStr">
        <is>
          <t>Grandjot genealogy report</t>
        </is>
      </c>
      <c r="Q14" s="2" t="inlineStr">
        <is>
          <t>Not yet found</t>
        </is>
      </c>
      <c r="R14" s="2" t="inlineStr">
        <is>
          <t>Grandjot genealogy report (m. 18 Feb 1827, Schöneberg); Archion Trendelburg Taufen 220108, image 1438, entry 187 (Carolina Philippine baptism confirms as mother)</t>
        </is>
      </c>
      <c r="S14" s="2" t="inlineStr">
        <is>
          <t>Wife of Johannes Herwig. Six documented children born in Trendelburg. Emigrated to USA 1854 with family.</t>
        </is>
      </c>
    </row>
    <row r="15">
      <c r="A15" s="2" t="n">
        <v>14</v>
      </c>
      <c r="B15" s="2" t="inlineStr">
        <is>
          <t>Carl Ludwig Herwig (UNVERIFIED)</t>
        </is>
      </c>
      <c r="C15" s="2" t="inlineStr">
        <is>
          <t>1797</t>
        </is>
      </c>
      <c r="D15" s="2" t="inlineStr">
        <is>
          <t>Trendelburg</t>
        </is>
      </c>
      <c r="E15" s="2" t="inlineStr">
        <is>
          <t>Deceased</t>
        </is>
      </c>
      <c r="F15" s="2" t="inlineStr">
        <is>
          <t>Unknown</t>
        </is>
      </c>
      <c r="G15" s="2" t="inlineStr">
        <is>
          <t>Johann Eckhard Herwig</t>
        </is>
      </c>
      <c r="H15" s="2" t="inlineStr">
        <is>
          <t>Anna Christina Heidt</t>
        </is>
      </c>
      <c r="I15" s="2" t="inlineStr"/>
      <c r="J15" s="2" t="inlineStr"/>
      <c r="K15" s="2" t="inlineStr"/>
      <c r="L15" s="2" t="inlineStr">
        <is>
          <t>Unknown</t>
        </is>
      </c>
      <c r="M15" s="2" t="inlineStr">
        <is>
          <t>Unknown</t>
        </is>
      </c>
      <c r="N15" s="2" t="inlineStr">
        <is>
          <t>LRZG-KH8</t>
        </is>
      </c>
      <c r="O15" s="10" t="inlineStr">
        <is>
          <t>VERIFY — may need REMOVAL if not in KB 1773-1818</t>
        </is>
      </c>
      <c r="P15" s="2" t="inlineStr">
        <is>
          <t>None — 0 sources on FamilySearch. Added by Dennis Bradley1, Jan 13, 2017.</t>
        </is>
      </c>
      <c r="Q15" s="2" t="inlineStr">
        <is>
          <t>Not found</t>
        </is>
      </c>
      <c r="R15" s="2" t="inlineStr"/>
      <c r="S15" s="2" t="inlineStr">
        <is>
          <t>UNVERIFIED. Not in Peter Schrader's Stammtafel. Born same year as parents' marriage (1797). No spouse, no children, no sources. Could be confused with Carl Louis Herwig (b. 1830, son of Johannes). ASK PETER to check physical KB 1773-1818.</t>
        </is>
      </c>
    </row>
    <row r="16">
      <c r="A16" s="2" t="n">
        <v>15</v>
      </c>
      <c r="B16" s="2" t="inlineStr">
        <is>
          <t>Christina Wilhelmina Herwig (UNVERIFIED)</t>
        </is>
      </c>
      <c r="C16" s="2" t="inlineStr">
        <is>
          <t>3 Jun 1800</t>
        </is>
      </c>
      <c r="D16" s="2" t="inlineStr">
        <is>
          <t>Trendelburg</t>
        </is>
      </c>
      <c r="E16" s="2" t="inlineStr">
        <is>
          <t>Deceased</t>
        </is>
      </c>
      <c r="F16" s="2" t="inlineStr">
        <is>
          <t>Unknown</t>
        </is>
      </c>
      <c r="G16" s="2" t="inlineStr">
        <is>
          <t>Johann Eckhard Herwig</t>
        </is>
      </c>
      <c r="H16" s="2" t="inlineStr">
        <is>
          <t>Anna Christina Heidt</t>
        </is>
      </c>
      <c r="I16" s="2" t="inlineStr"/>
      <c r="J16" s="2" t="inlineStr"/>
      <c r="K16" s="2" t="inlineStr"/>
      <c r="L16" s="2" t="inlineStr">
        <is>
          <t>Unknown</t>
        </is>
      </c>
      <c r="M16" s="2" t="inlineStr">
        <is>
          <t>Unknown</t>
        </is>
      </c>
      <c r="N16" s="2" t="inlineStr">
        <is>
          <t>LRZG-PZG</t>
        </is>
      </c>
      <c r="O16" s="10" t="inlineStr">
        <is>
          <t>VERIFY — check KB 1773-1818</t>
        </is>
      </c>
      <c r="P16" s="2" t="inlineStr">
        <is>
          <t>None — 0 sources on FamilySearch. Added by Dennis Bradley1, Jan 13, 2017.</t>
        </is>
      </c>
      <c r="Q16" s="2" t="inlineStr">
        <is>
          <t>Not found</t>
        </is>
      </c>
      <c r="R16" s="2" t="inlineStr"/>
      <c r="S16" s="2" t="inlineStr">
        <is>
          <t>UNVERIFIED. Not in Stammtafel. Has specific birth date (3 Jun 1800) suggesting Dennis Bradley had a source. Plausible timing. ASK PETER to verify in physical KB.</t>
        </is>
      </c>
    </row>
    <row r="17">
      <c r="A17" s="2" t="n">
        <v>16</v>
      </c>
      <c r="B17" s="2" t="inlineStr">
        <is>
          <t>Johann Henrich Herwig (father of J.E. Herwig)</t>
        </is>
      </c>
      <c r="C17" s="2" t="inlineStr">
        <is>
          <t>~1731</t>
        </is>
      </c>
      <c r="D17" s="2" t="inlineStr">
        <is>
          <t>Erbsen area</t>
        </is>
      </c>
      <c r="E17" s="2" t="inlineStr">
        <is>
          <t>1776</t>
        </is>
      </c>
      <c r="F17" s="2" t="inlineStr">
        <is>
          <t>Erbsen area</t>
        </is>
      </c>
      <c r="G17" s="2" t="inlineStr">
        <is>
          <t>Unknown</t>
        </is>
      </c>
      <c r="H17" s="2" t="inlineStr">
        <is>
          <t>Unknown</t>
        </is>
      </c>
      <c r="I17" s="2" t="inlineStr">
        <is>
          <t>Catharina Elisabeth Voigt</t>
        </is>
      </c>
      <c r="J17" s="2" t="inlineStr">
        <is>
          <t>Unknown</t>
        </is>
      </c>
      <c r="K17" s="2" t="inlineStr"/>
      <c r="L17" s="2" t="inlineStr">
        <is>
          <t>Legitimate</t>
        </is>
      </c>
      <c r="M17" s="2" t="inlineStr">
        <is>
          <t>Unknown</t>
        </is>
      </c>
      <c r="N17" s="2" t="inlineStr">
        <is>
          <t>KCBR-6FP</t>
        </is>
      </c>
      <c r="O17" s="10" t="inlineStr">
        <is>
          <t>VERIFY dates</t>
        </is>
      </c>
      <c r="P17" s="2" t="inlineStr">
        <is>
          <t>FamilySearch tree (added by others); Erbsen parish register (bap Johann Eckhard Herwig.jpg shows mother Catharine Elisabeth née Voigt)</t>
        </is>
      </c>
      <c r="Q17" s="2" t="inlineStr">
        <is>
          <t>FamilySearch tree</t>
        </is>
      </c>
      <c r="R17" s="2" t="inlineStr"/>
      <c r="S17" s="2" t="inlineStr">
        <is>
          <t>Father of Johann Eckhard Herwig. On FamilySearch with 6 children from Erbsen. Dates 1731-1776 from FS — not independently verified in our research.</t>
        </is>
      </c>
    </row>
    <row r="18">
      <c r="A18" s="2" t="n">
        <v>17</v>
      </c>
      <c r="B18" s="2" t="inlineStr">
        <is>
          <t>Catharina Elisabeth Voigt (mother of J.E. Herwig)</t>
        </is>
      </c>
      <c r="C18" s="2" t="inlineStr">
        <is>
          <t>~1736</t>
        </is>
      </c>
      <c r="D18" s="2" t="inlineStr">
        <is>
          <t>Unknown</t>
        </is>
      </c>
      <c r="E18" s="2" t="inlineStr">
        <is>
          <t>1797</t>
        </is>
      </c>
      <c r="F18" s="2" t="inlineStr">
        <is>
          <t>Erbsen area</t>
        </is>
      </c>
      <c r="G18" s="2" t="inlineStr">
        <is>
          <t>Unknown</t>
        </is>
      </c>
      <c r="H18" s="2" t="inlineStr">
        <is>
          <t>Unknown</t>
        </is>
      </c>
      <c r="I18" s="2" t="inlineStr">
        <is>
          <t>Johann Henrich Herwig</t>
        </is>
      </c>
      <c r="J18" s="2" t="inlineStr">
        <is>
          <t>Unknown</t>
        </is>
      </c>
      <c r="K18" s="2" t="inlineStr"/>
      <c r="L18" s="2" t="inlineStr">
        <is>
          <t>Legitimate</t>
        </is>
      </c>
      <c r="M18" s="2" t="inlineStr">
        <is>
          <t>Unknown</t>
        </is>
      </c>
      <c r="N18" s="2" t="inlineStr">
        <is>
          <t>K4BL-7VC</t>
        </is>
      </c>
      <c r="O18" s="10" t="inlineStr">
        <is>
          <t>VERIFY dates</t>
        </is>
      </c>
      <c r="P18" s="2" t="inlineStr">
        <is>
          <t>FamilySearch tree; Erbsen baptism record (bap Johann Eckhard Herwig.jpg confirms maiden name Voigt)</t>
        </is>
      </c>
      <c r="Q18" s="2" t="inlineStr">
        <is>
          <t>FamilySearch tree</t>
        </is>
      </c>
      <c r="R18" s="2" t="inlineStr"/>
      <c r="S18" s="2" t="inlineStr">
        <is>
          <t>Mother of Johann Eckhard Herwig. Maiden name CONFIRMED as Voigt from baptism record image. Dates from FS — not independently verified.</t>
        </is>
      </c>
    </row>
  </sheetData>
  <autoFilter ref="A1:S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zoomScale="90" workbookViewId="0">
      <pane ySplit="1" topLeftCell="A2" activePane="bottomLeft" state="frozen"/>
      <selection pane="bottomLeft" activeCell="A1" sqref="A1"/>
    </sheetView>
  </sheetViews>
  <sheetFormatPr baseColWidth="8" defaultRowHeight="15"/>
  <cols>
    <col width="4" customWidth="1" min="1" max="1"/>
    <col width="35" customWidth="1" min="2" max="2"/>
    <col width="40" customWidth="1" min="3" max="3"/>
    <col width="55" customWidth="1" min="4" max="4"/>
    <col width="60" customWidth="1" min="5" max="5"/>
    <col width="12" customWidth="1" min="6" max="6"/>
  </cols>
  <sheetData>
    <row r="1">
      <c r="A1" s="1" t="inlineStr">
        <is>
          <t>#</t>
        </is>
      </c>
      <c r="B1" s="1" t="inlineStr">
        <is>
          <t>Person / Relationship</t>
        </is>
      </c>
      <c r="C1" s="1" t="inlineStr">
        <is>
          <t>Current FS Error</t>
        </is>
      </c>
      <c r="D1" s="1" t="inlineStr">
        <is>
          <t>Correct Information</t>
        </is>
      </c>
      <c r="E1" s="1" t="inlineStr">
        <is>
          <t>Source for Correction</t>
        </is>
      </c>
      <c r="F1" s="1" t="inlineStr">
        <is>
          <t>Priority</t>
        </is>
      </c>
    </row>
    <row r="2">
      <c r="A2" s="2" t="n">
        <v>1</v>
      </c>
      <c r="B2" s="2" t="inlineStr">
        <is>
          <t>Johann Eckhard Herwig — Name</t>
        </is>
      </c>
      <c r="C2" s="2" t="inlineStr">
        <is>
          <t>'Feckhard' in FamilySearch transcription</t>
        </is>
      </c>
      <c r="D2" s="2" t="inlineStr">
        <is>
          <t>Correct name: 'Eckhard' (Johann Eckhard Herwig)</t>
        </is>
      </c>
      <c r="E2" s="2" t="inlineStr">
        <is>
          <t>Peter Schrader correction from baptism record (bap Johann Eckhard Herwig.jpg); Erbsen parish register</t>
        </is>
      </c>
      <c r="F2" s="4" t="inlineStr">
        <is>
          <t>HIGH</t>
        </is>
      </c>
    </row>
    <row r="3">
      <c r="A3" s="2" t="n">
        <v>2</v>
      </c>
      <c r="B3" s="2" t="inlineStr">
        <is>
          <t>Johann Eckhard Herwig — Wife's name</t>
        </is>
      </c>
      <c r="C3" s="2" t="inlineStr">
        <is>
          <t>'Christina Elisabeth' in FamilySearch</t>
        </is>
      </c>
      <c r="D3" s="2" t="inlineStr">
        <is>
          <t>Correct: Anna Christina (née Heidt), b. 14 Dec 1774</t>
        </is>
      </c>
      <c r="E3" s="2" t="inlineStr">
        <is>
          <t>Peter Schrader Stammtafel; Charlotte Herwig baptism record (April 4, 2026 correction)</t>
        </is>
      </c>
      <c r="F3" s="4" t="inlineStr">
        <is>
          <t>HIGH</t>
        </is>
      </c>
    </row>
    <row r="4">
      <c r="A4" s="2" t="n">
        <v>3</v>
      </c>
      <c r="B4" s="2" t="inlineStr">
        <is>
          <t>Charlotte Herwig — Parentage</t>
        </is>
      </c>
      <c r="C4" s="2" t="inlineStr">
        <is>
          <t>Parentage previously unknown or unlinked</t>
        </is>
      </c>
      <c r="D4" s="2" t="inlineStr">
        <is>
          <t>Mother: Anna Christina Heidt (widow of Joh. Eckhard Herwig). Father: UNKNOWN (illegitimate child).</t>
        </is>
      </c>
      <c r="E4" s="2" t="inlineStr">
        <is>
          <t>Peter Schrader's April 4, 2026 email correcting baptism record; Trendelburg KB 1773-1818 (physical at Landeskirchliches Archiv Kassel)</t>
        </is>
      </c>
      <c r="F4" s="4" t="inlineStr">
        <is>
          <t>HIGH</t>
        </is>
      </c>
    </row>
    <row r="5">
      <c r="A5" s="2" t="n">
        <v>4</v>
      </c>
      <c r="B5" s="2" t="inlineStr">
        <is>
          <t>Andreas Konze — Identity confusion</t>
        </is>
      </c>
      <c r="C5" s="2" t="inlineStr">
        <is>
          <t>§3.3 of research paper incorrectly attributed Hofeditz marriage to Stammtafel Andreas (b. 1787)</t>
        </is>
      </c>
      <c r="D5" s="2" t="inlineStr">
        <is>
          <t>TWO different men: (A) Stammtafel Andreas b. 9 Mar 1787, d. 13 Oct 1830, married Anna Christina Heidt; (B) Friedrich's son Andreas b. 17 Oct 1795, d. 6 Oct 1854 Mainz, married Hofeditz sisters. Must NOT be merged.</t>
        </is>
      </c>
      <c r="E5" s="2" t="inlineStr">
        <is>
          <t>Peter Schrader attachment 'Andreas Konze.pdf' (April 3, 2026); Archion 220114 burial register; Archion 220120 marriage register</t>
        </is>
      </c>
      <c r="F5" s="5" t="inlineStr">
        <is>
          <t>CRITICAL</t>
        </is>
      </c>
    </row>
    <row r="6">
      <c r="A6" s="2" t="n">
        <v>5</v>
      </c>
      <c r="B6" s="2" t="inlineStr">
        <is>
          <t>Andreas Konze (b.1795) × Wilhelmine Hofeditz</t>
        </is>
      </c>
      <c r="C6" s="2" t="inlineStr">
        <is>
          <t>Not in FamilySearch yet</t>
        </is>
      </c>
      <c r="D6" s="2" t="inlineStr">
        <is>
          <t>Married 23 Mar 1821, Trendelburg. She d. 7 Oct 1825. He remarried her sister Maria Sophia 16 Dec 1827.</t>
        </is>
      </c>
      <c r="E6" s="2" t="inlineStr">
        <is>
          <t>Peter Schrader 'Andreas Konze.pdf'; Archion Trendelburg Trauungen 220120 (16 Dec 1827 entry)</t>
        </is>
      </c>
      <c r="F6" s="2" t="inlineStr">
        <is>
          <t>MEDIUM</t>
        </is>
      </c>
    </row>
    <row r="7">
      <c r="A7" s="2" t="n">
        <v>6</v>
      </c>
      <c r="B7" s="2" t="inlineStr">
        <is>
          <t>Johannes Herwig — PID LTF1-LQY</t>
        </is>
      </c>
      <c r="C7" s="2" t="inlineStr">
        <is>
          <t>Shows dates 1788-1855</t>
        </is>
      </c>
      <c r="D7" s="2" t="inlineStr">
        <is>
          <t>Verify if this is the correct Johannes Herwig (b. 22 Aug 1802). Dates 1788 don't match. May be a different person.</t>
        </is>
      </c>
      <c r="E7" s="2" t="inlineStr">
        <is>
          <t>Stammtafel; Archion Trendelburg KB; Grandjot genealogy report</t>
        </is>
      </c>
      <c r="F7" s="4" t="inlineStr">
        <is>
          <t>HIGH</t>
        </is>
      </c>
    </row>
    <row r="8">
      <c r="A8" s="2" t="n">
        <v>7</v>
      </c>
      <c r="B8" s="2" t="inlineStr">
        <is>
          <t>Carl Louis Herwig — NOT Charles Gannsen</t>
        </is>
      </c>
      <c r="C8" s="2" t="inlineStr">
        <is>
          <t>May be incorrectly linked to Charles Gannsen on some trees</t>
        </is>
      </c>
      <c r="D8" s="2" t="inlineStr">
        <is>
          <t>Carl Louis married Catherine Sharda in Plymouth MA, 6 Oct 1855. He is NOT Charles Gannsen (who was in St. Louis MO).</t>
        </is>
      </c>
      <c r="E8" s="2" t="inlineStr">
        <is>
          <t>Ancestry collection 2495 (Plymouth marriage); FamilySearch ARK 61903/1:1:V2DX-4HX (Charles Gannsen marriage in St. Louis)</t>
        </is>
      </c>
      <c r="F8" s="4" t="inlineStr">
        <is>
          <t>HIGH</t>
        </is>
      </c>
    </row>
    <row r="9">
      <c r="A9" s="2" t="n">
        <v>8</v>
      </c>
      <c r="B9" s="2" t="inlineStr">
        <is>
          <t>Charles Gannsen — Origin village</t>
        </is>
      </c>
      <c r="C9" s="2" t="inlineStr">
        <is>
          <t>May show 'Freundburg' or uncertain origin</t>
        </is>
      </c>
      <c r="D9" s="2" t="inlineStr">
        <is>
          <t>Origin confirmed: 'Deisse' (= Deisel), Kreis Cassel, Churhessen (from 1866 marriage record at St. Marcus)</t>
        </is>
      </c>
      <c r="E9" s="2" t="inlineStr">
        <is>
          <t>FamilySearch ARK 61903/1:1:V2DX-4HX (marriage record #676, St. Marcus Church)</t>
        </is>
      </c>
      <c r="F9" s="4" t="inlineStr">
        <is>
          <t>HIGH</t>
        </is>
      </c>
    </row>
    <row r="10">
      <c r="A10" s="2" t="n">
        <v>9</v>
      </c>
      <c r="B10" s="2" t="inlineStr">
        <is>
          <t>Stammtafel — no children from 2nd/3rd marriages</t>
        </is>
      </c>
      <c r="C10" s="2" t="inlineStr">
        <is>
          <t>Ensure Anna Christina Heidt is NOT linked to children from wrong Andreas Konze</t>
        </is>
      </c>
      <c r="D10" s="2" t="inlineStr">
        <is>
          <t>Anna Christina Heidt had only 2 known children: Johannes Herwig (legit., 1802) and Charlotte Herwig (illegit., 1812). No children from Hofmann or Konze marriages.</t>
        </is>
      </c>
      <c r="E10" s="2" t="inlineStr">
        <is>
          <t>Stammtafel; Peter Schrader April 4 correction (Charlotte baptism)</t>
        </is>
      </c>
      <c r="F10" s="2" t="inlineStr">
        <is>
          <t>MEDIUM</t>
        </is>
      </c>
    </row>
    <row r="11">
      <c r="A11" s="2" t="n">
        <v>10</v>
      </c>
      <c r="B11" s="2" t="inlineStr">
        <is>
          <t>Johann Eckhard Herwig — Birth date</t>
        </is>
      </c>
      <c r="C11" s="2" t="inlineStr">
        <is>
          <t>Some records show 21 Dec 1766</t>
        </is>
      </c>
      <c r="D11" s="2" t="inlineStr">
        <is>
          <t>Birth: 17 Dec 1766 (baptized 21 Dec 1766). The 21st is baptism date, not birth.</t>
        </is>
      </c>
      <c r="E11" s="2" t="inlineStr">
        <is>
          <t>Baptism record image: bap Johann Eckhard Herwig.jpg (Erbsen parish); corrected by Peter Schrader March 2026</t>
        </is>
      </c>
      <c r="F11" s="2" t="inlineStr">
        <is>
          <t>MEDIUM</t>
        </is>
      </c>
    </row>
    <row r="12">
      <c r="A12" s="2" t="n">
        <v>11</v>
      </c>
      <c r="B12" s="2" t="inlineStr">
        <is>
          <t>Johann Eckhard Herwig — Name spelling (KCJC-M6T)</t>
        </is>
      </c>
      <c r="C12" s="2" t="inlineStr">
        <is>
          <t>Currently 'Johann Eckard Herwig' (no 'h')</t>
        </is>
      </c>
      <c r="D12" s="2" t="inlineStr">
        <is>
          <t>Correct: 'Johann Eckhard Herwig' — Peter Schrader confirmed from baptism record</t>
        </is>
      </c>
      <c r="E12" s="2" t="inlineStr">
        <is>
          <t>Baptism record image (bap Johann Eckhard Herwig.jpg); Peter Schrader March 2026 correction</t>
        </is>
      </c>
      <c r="F12" s="2" t="inlineStr">
        <is>
          <t>MEDIUM</t>
        </is>
      </c>
    </row>
    <row r="13">
      <c r="A13" s="2" t="n">
        <v>12</v>
      </c>
      <c r="B13" s="2" t="inlineStr">
        <is>
          <t>Anna Christina Heidt — Missing spouses (LRZG-FY7)</t>
        </is>
      </c>
      <c r="C13" s="2" t="inlineStr">
        <is>
          <t>Only Johann Eckhard Herwig listed as spouse</t>
        </is>
      </c>
      <c r="D13" s="2" t="inlineStr">
        <is>
          <t>ADD 2nd spouse: Johann Georg Hofmann (m. 15 May 1814, d. 7 Apr 1817). ADD 3rd spouse: Andreas Konze b. 1787 (m. 5 Jun 1818, d. 13 Oct 1830). FamilySearch flags 'Person May Have Another Spouse.'</t>
        </is>
      </c>
      <c r="E13" s="2" t="inlineStr">
        <is>
          <t>Peter Schrader Stammtafel (all three marriages documented)</t>
        </is>
      </c>
      <c r="F13" s="4" t="inlineStr">
        <is>
          <t>HIGH</t>
        </is>
      </c>
    </row>
    <row r="14">
      <c r="A14" s="2" t="n">
        <v>13</v>
      </c>
      <c r="B14" s="2" t="inlineStr">
        <is>
          <t>Anna Christina Heidt — Missing child Charlotte Herwig (LRZG-FY7)</t>
        </is>
      </c>
      <c r="C14" s="2" t="inlineStr">
        <is>
          <t>Charlotte Herwig (b. 3 Apr 1812) NOT listed as child</t>
        </is>
      </c>
      <c r="D14" s="2" t="inlineStr">
        <is>
          <t>ADD Charlotte Herwig as child of Anna Christina Heidt with UNKNOWN FATHER (illegitimate). Do NOT add under Johann Eckhard — he died April 1810, 2 years before Charlotte's birth.</t>
        </is>
      </c>
      <c r="E14" s="2" t="inlineStr">
        <is>
          <t>Peter Schrader April 4, 2026 email (Charlotte's baptism record); Trendelburg KB 1773-1818 (physical register)</t>
        </is>
      </c>
      <c r="F14" s="4" t="inlineStr">
        <is>
          <t>HIGH</t>
        </is>
      </c>
    </row>
    <row r="15">
      <c r="A15" s="2" t="n">
        <v>14</v>
      </c>
      <c r="B15" s="2" t="inlineStr">
        <is>
          <t>Carl Ludwig Herwig (LRZG-KH8) — Possibly wrong parents</t>
        </is>
      </c>
      <c r="C15" s="2" t="inlineStr">
        <is>
          <t>Listed as child of Johann Eckhard Herwig &amp; Anna Christina Heidt, b. 1797. 0 sources. Added by Dennis Bradley1.</t>
        </is>
      </c>
      <c r="D15" s="2" t="inlineStr">
        <is>
          <t>UNVERIFIED. Not in Stammtafel. Ask Peter Schrader to check physical KB 1773-1818. If no baptism found, REMOVE from this couple. May be confused with Carl Louis (b. 1830, son of Johannes).</t>
        </is>
      </c>
      <c r="E15" s="2" t="inlineStr">
        <is>
          <t>Needs verification: Peter Schrader access to physical Trendelburg KB 1773-1818 at Landeskirchliches Archiv Kassel</t>
        </is>
      </c>
      <c r="F15" s="4" t="inlineStr">
        <is>
          <t>HIGH</t>
        </is>
      </c>
    </row>
    <row r="16">
      <c r="A16" s="2" t="n">
        <v>15</v>
      </c>
      <c r="B16" s="2" t="inlineStr">
        <is>
          <t>Christina Wilhelmina Herwig (LRZG-PZG) — Unverified child</t>
        </is>
      </c>
      <c r="C16" s="2" t="inlineStr">
        <is>
          <t>Listed as child of Johann Eckhard &amp; Anna Christina, b. 3 Jun 1800. 0 sources. Added by Dennis Bradley1.</t>
        </is>
      </c>
      <c r="D16" s="2" t="inlineStr">
        <is>
          <t>UNVERIFIED. Not in Stammtafel but has specific birth date. Ask Peter to check physical KB 1773-1818 for baptism.</t>
        </is>
      </c>
      <c r="E16" s="2" t="inlineStr">
        <is>
          <t>Needs verification: Peter Schrader access to physical Trendelburg KB 1773-1818</t>
        </is>
      </c>
      <c r="F16" s="2" t="inlineStr">
        <is>
          <t>MEDIUM</t>
        </is>
      </c>
    </row>
    <row r="17">
      <c r="A17" s="2" t="n">
        <v>16</v>
      </c>
      <c r="B17" s="2" t="inlineStr">
        <is>
          <t>Johannes Herwig — Missing child Charlotte (Plymouth) (LRZG-NML)</t>
        </is>
      </c>
      <c r="C17" s="2" t="inlineStr">
        <is>
          <t>8 children listed; Charlotte Herwig (~1830, pre-Grandjot, m. John Tyan Plymouth) is MISSING</t>
        </is>
      </c>
      <c r="D17" s="2" t="inlineStr">
        <is>
          <t>ADD Charlotte Herwig (~1830) as child. She married John Tyan, Plymouth MA, 19 Apr 1855. Pre-Grandjot child (mother unknown).</t>
        </is>
      </c>
      <c r="E17" s="2" t="inlineStr">
        <is>
          <t>Ancestry #14571935 (Plymouth marriage record)</t>
        </is>
      </c>
      <c r="F17" s="2" t="inlineStr">
        <is>
          <t>MEDIUM</t>
        </is>
      </c>
    </row>
    <row r="18">
      <c r="A18" s="2" t="n">
        <v>17</v>
      </c>
      <c r="B18" s="2" t="inlineStr">
        <is>
          <t>Johannes Herwig — Carl Ludwig infant (LRZG-GRC) and Friedrich Wilhelm (PCXY-MN1)</t>
        </is>
      </c>
      <c r="C18" s="2" t="inlineStr">
        <is>
          <t>Carl Ludwig (1829-1829) and Friedrich Wilhelm (1839-1848) listed as children but NOT in our Stammtafel</t>
        </is>
      </c>
      <c r="D18" s="2" t="inlineStr">
        <is>
          <t>UNVERIFIED. Both need confirmation. Could be legitimate children who died young and weren't tracked by Peter's Stammtafel. Friedrich Wilhelm (1839-1848) is plausible gap-filler between Caroline (1837) and Carl Peter (1841).</t>
        </is>
      </c>
      <c r="E18" s="2" t="inlineStr">
        <is>
          <t>Needs verification: Ask Peter Schrader or check Trendelburg KB 1819-1831 (register 220099) and Taufen 1830-1863 (register 220108)</t>
        </is>
      </c>
      <c r="F18" s="2" t="inlineStr">
        <is>
          <t>MEDIUM</t>
        </is>
      </c>
    </row>
    <row r="19">
      <c r="A19" s="2" t="n">
        <v>18</v>
      </c>
      <c r="B19" s="2" t="inlineStr">
        <is>
          <t>Johannes Herwig PID — LRZG-NML vs LTF1-LQY</t>
        </is>
      </c>
      <c r="C19" s="2" t="inlineStr">
        <is>
          <t>Previously noted PID LTF1-LQY (shows 1788-1855) — may be duplicate or different person</t>
        </is>
      </c>
      <c r="D19" s="2" t="inlineStr">
        <is>
          <t>Correct PID is LRZG-NML (b. 22 Aug 1802). LTF1-LQY (if it exists) with dates 1788-1855 is likely a DIFFERENT Johannes Herwig. Check for possible duplicate/merge.</t>
        </is>
      </c>
      <c r="E19" s="2" t="inlineStr">
        <is>
          <t>FamilySearch tree comparison; Stammtafel; Archion records</t>
        </is>
      </c>
      <c r="F19" s="2" t="inlineStr">
        <is>
          <t>MEDIUM</t>
        </is>
      </c>
    </row>
  </sheetData>
  <autoFilter ref="A1:F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zoomScale="90" workbookViewId="0">
      <pane ySplit="1" topLeftCell="A2" activePane="bottomLeft" state="frozen"/>
      <selection pane="bottomLeft" activeCell="A1" sqref="A1"/>
    </sheetView>
  </sheetViews>
  <sheetFormatPr baseColWidth="8" defaultRowHeight="15"/>
  <cols>
    <col width="4" customWidth="1" min="1" max="1"/>
    <col width="35" customWidth="1" min="2" max="2"/>
    <col width="14" customWidth="1" min="3" max="3"/>
    <col width="14" customWidth="1" min="4" max="4"/>
    <col width="30" customWidth="1" min="5" max="5"/>
    <col width="35" customWidth="1" min="6" max="6"/>
    <col width="40" customWidth="1" min="7" max="7"/>
    <col width="50" customWidth="1" min="8" max="8"/>
  </cols>
  <sheetData>
    <row r="1">
      <c r="A1" s="1" t="inlineStr">
        <is>
          <t>#</t>
        </is>
      </c>
      <c r="B1" s="1" t="inlineStr">
        <is>
          <t>Child Name</t>
        </is>
      </c>
      <c r="C1" s="1" t="inlineStr">
        <is>
          <t>Birth Date</t>
        </is>
      </c>
      <c r="D1" s="1" t="inlineStr">
        <is>
          <t>Death Date</t>
        </is>
      </c>
      <c r="E1" s="1" t="inlineStr">
        <is>
          <t>Mother</t>
        </is>
      </c>
      <c r="F1" s="1" t="inlineStr">
        <is>
          <t>Godparent(s)</t>
        </is>
      </c>
      <c r="G1" s="1" t="inlineStr">
        <is>
          <t>Source</t>
        </is>
      </c>
      <c r="H1" s="1" t="inlineStr">
        <is>
          <t>Notes</t>
        </is>
      </c>
    </row>
    <row r="2">
      <c r="A2" s="2" t="n">
        <v>1</v>
      </c>
      <c r="B2" s="2" t="inlineStr">
        <is>
          <t>Elisa Melusine Konze (called Adolphine)</t>
        </is>
      </c>
      <c r="C2" s="2" t="inlineStr">
        <is>
          <t>24 Feb 1822</t>
        </is>
      </c>
      <c r="D2" s="2" t="inlineStr">
        <is>
          <t>23 Feb 1865</t>
        </is>
      </c>
      <c r="E2" s="2" t="inlineStr">
        <is>
          <t>Wilhelmine Hofeditz (1st wife)</t>
        </is>
      </c>
      <c r="F2" s="2" t="inlineStr">
        <is>
          <t>Maria Sophia Hofeditz (mother's sister)</t>
        </is>
      </c>
      <c r="G2" s="2" t="inlineStr">
        <is>
          <t>Peter Schrader 'Andreas Konze.pdf'</t>
        </is>
      </c>
      <c r="H2" s="2" t="inlineStr">
        <is>
          <t>Married; godmother was her mother's sister who later became her stepmother</t>
        </is>
      </c>
    </row>
    <row r="3">
      <c r="A3" s="2" t="n">
        <v>2</v>
      </c>
      <c r="B3" s="2" t="inlineStr">
        <is>
          <t>Karl Wilhelm Konze</t>
        </is>
      </c>
      <c r="C3" s="2" t="inlineStr">
        <is>
          <t>19 Jan 1824</t>
        </is>
      </c>
      <c r="D3" s="2" t="inlineStr">
        <is>
          <t>6 Aug 1824</t>
        </is>
      </c>
      <c r="E3" s="2" t="inlineStr">
        <is>
          <t>Wilhelmine Hofeditz (1st wife)</t>
        </is>
      </c>
      <c r="F3" s="2" t="inlineStr">
        <is>
          <t>Ludwig Konze, farmer from Friedrichsfeld</t>
        </is>
      </c>
      <c r="G3" s="2" t="inlineStr">
        <is>
          <t>Peter Schrader 'Andreas Konze.pdf'</t>
        </is>
      </c>
      <c r="H3" s="2" t="inlineStr">
        <is>
          <t>Died in infancy</t>
        </is>
      </c>
    </row>
    <row r="4">
      <c r="A4" s="2" t="n">
        <v>3</v>
      </c>
      <c r="B4" s="2" t="inlineStr">
        <is>
          <t>Caroline Phillipine Konze</t>
        </is>
      </c>
      <c r="C4" s="2" t="inlineStr">
        <is>
          <t>21 Feb 1825</t>
        </is>
      </c>
      <c r="D4" s="2" t="inlineStr">
        <is>
          <t>22 Jun 1825</t>
        </is>
      </c>
      <c r="E4" s="2" t="inlineStr">
        <is>
          <t>Wilhelmine Hofeditz (1st wife)</t>
        </is>
      </c>
      <c r="F4" s="2" t="inlineStr">
        <is>
          <t>Unknown</t>
        </is>
      </c>
      <c r="G4" s="2" t="inlineStr">
        <is>
          <t>Peter Schrader 'Andreas Konze.pdf'</t>
        </is>
      </c>
      <c r="H4" s="2" t="inlineStr">
        <is>
          <t>Died in infancy; mother Wilhelmine died 7 Oct 1825 same year</t>
        </is>
      </c>
    </row>
    <row r="5">
      <c r="A5" s="2" t="n">
        <v>4</v>
      </c>
      <c r="B5" s="2" t="inlineStr">
        <is>
          <t>Maria Carolina Konze</t>
        </is>
      </c>
      <c r="C5" s="2" t="inlineStr">
        <is>
          <t>5 Mar 1828</t>
        </is>
      </c>
      <c r="D5" s="2" t="inlineStr">
        <is>
          <t>Unknown</t>
        </is>
      </c>
      <c r="E5" s="2" t="inlineStr">
        <is>
          <t>Maria Sophia Hofeditz (2nd wife)</t>
        </is>
      </c>
      <c r="F5" s="2" t="inlineStr">
        <is>
          <t>Unknown</t>
        </is>
      </c>
      <c r="G5" s="2" t="inlineStr">
        <is>
          <t>Peter Schrader 'Andreas Konze.pdf'</t>
        </is>
      </c>
      <c r="H5" s="2" t="inlineStr"/>
    </row>
    <row r="6">
      <c r="A6" s="2" t="n">
        <v>5</v>
      </c>
      <c r="B6" s="2" t="inlineStr">
        <is>
          <t>Justus Ernst Konze</t>
        </is>
      </c>
      <c r="C6" s="2" t="inlineStr">
        <is>
          <t>14 Nov 1829</t>
        </is>
      </c>
      <c r="D6" s="2" t="inlineStr">
        <is>
          <t>Unknown</t>
        </is>
      </c>
      <c r="E6" s="2" t="inlineStr">
        <is>
          <t>Maria Sophia Hofeditz (2nd wife)</t>
        </is>
      </c>
      <c r="F6" s="2" t="inlineStr">
        <is>
          <t>Unknown</t>
        </is>
      </c>
      <c r="G6" s="2" t="inlineStr">
        <is>
          <t>Peter Schrader 'Andreas Konze.pdf'</t>
        </is>
      </c>
      <c r="H6" s="2" t="inlineStr"/>
    </row>
    <row r="7">
      <c r="A7" s="2" t="n">
        <v>6</v>
      </c>
      <c r="B7" s="2" t="inlineStr">
        <is>
          <t>Heinrich Wilhelm Konze</t>
        </is>
      </c>
      <c r="C7" s="2" t="inlineStr">
        <is>
          <t>12 Feb 1832</t>
        </is>
      </c>
      <c r="D7" s="2" t="inlineStr">
        <is>
          <t>Unknown</t>
        </is>
      </c>
      <c r="E7" s="2" t="inlineStr">
        <is>
          <t>Maria Sophia Hofeditz (2nd wife)</t>
        </is>
      </c>
      <c r="F7" s="2" t="inlineStr">
        <is>
          <t>Unknown</t>
        </is>
      </c>
      <c r="G7" s="2" t="inlineStr">
        <is>
          <t>Peter Schrader 'Andreas Konze.pdf'</t>
        </is>
      </c>
      <c r="H7" s="2" t="inlineStr"/>
    </row>
    <row r="8">
      <c r="A8" s="2" t="n">
        <v>7</v>
      </c>
      <c r="B8" s="2" t="inlineStr">
        <is>
          <t>August Konze</t>
        </is>
      </c>
      <c r="C8" s="2" t="inlineStr">
        <is>
          <t>Unknown</t>
        </is>
      </c>
      <c r="D8" s="2" t="inlineStr">
        <is>
          <t>Unknown</t>
        </is>
      </c>
      <c r="E8" s="2" t="inlineStr">
        <is>
          <t>Maria Sophia Hofeditz (2nd wife)</t>
        </is>
      </c>
      <c r="F8" s="2" t="inlineStr">
        <is>
          <t>Unknown</t>
        </is>
      </c>
      <c r="G8" s="2" t="inlineStr">
        <is>
          <t>Peter Schrader 'Andreas Konze.pdf'</t>
        </is>
      </c>
      <c r="H8" s="2" t="inlineStr">
        <is>
          <t>Birth date not given in PDF</t>
        </is>
      </c>
    </row>
    <row r="9">
      <c r="A9" s="2" t="n">
        <v>8</v>
      </c>
      <c r="B9" s="2" t="inlineStr">
        <is>
          <t>Maria Sabine Konze</t>
        </is>
      </c>
      <c r="C9" s="2" t="inlineStr">
        <is>
          <t>Unknown</t>
        </is>
      </c>
      <c r="D9" s="2" t="inlineStr">
        <is>
          <t>Unknown</t>
        </is>
      </c>
      <c r="E9" s="2" t="inlineStr">
        <is>
          <t>Maria Sophia Hofeditz (2nd wife)</t>
        </is>
      </c>
      <c r="F9" s="2" t="inlineStr">
        <is>
          <t>Unknown</t>
        </is>
      </c>
      <c r="G9" s="2" t="inlineStr">
        <is>
          <t>Peter Schrader 'Andreas Konze.pdf'</t>
        </is>
      </c>
      <c r="H9" s="2" t="inlineStr">
        <is>
          <t>Birth date not given in PDF</t>
        </is>
      </c>
    </row>
  </sheetData>
  <autoFilter ref="A1:H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zoomScale="90" workbookViewId="0">
      <pane ySplit="1" topLeftCell="A2" activePane="bottomLeft" state="frozen"/>
      <selection pane="bottomLeft" activeCell="A1" sqref="A1"/>
    </sheetView>
  </sheetViews>
  <sheetFormatPr baseColWidth="8" defaultRowHeight="15"/>
  <cols>
    <col width="4" customWidth="1" min="1" max="1"/>
    <col width="35" customWidth="1" min="2" max="2"/>
    <col width="14" customWidth="1" min="3" max="3"/>
    <col width="14" customWidth="1" min="4" max="4"/>
    <col width="30" customWidth="1" min="5" max="5"/>
    <col width="35" customWidth="1" min="6" max="6"/>
    <col width="40" customWidth="1" min="7" max="7"/>
    <col width="50" customWidth="1" min="8" max="8"/>
  </cols>
  <sheetData>
    <row r="1">
      <c r="A1" s="1" t="inlineStr">
        <is>
          <t>#</t>
        </is>
      </c>
      <c r="B1" s="1" t="inlineStr">
        <is>
          <t>Child Name</t>
        </is>
      </c>
      <c r="C1" s="1" t="inlineStr">
        <is>
          <t>Birth Date</t>
        </is>
      </c>
      <c r="D1" s="1" t="inlineStr">
        <is>
          <t>Death Date</t>
        </is>
      </c>
      <c r="E1" s="1" t="inlineStr">
        <is>
          <t>Mother</t>
        </is>
      </c>
      <c r="F1" s="1" t="inlineStr">
        <is>
          <t>Godparent(s)</t>
        </is>
      </c>
      <c r="G1" s="1" t="inlineStr">
        <is>
          <t>Source</t>
        </is>
      </c>
      <c r="H1" s="1" t="inlineStr">
        <is>
          <t>Notes</t>
        </is>
      </c>
    </row>
    <row r="2">
      <c r="A2" s="2" t="n">
        <v>1</v>
      </c>
      <c r="B2" s="2" t="inlineStr">
        <is>
          <t>Carl Louis Herwig</t>
        </is>
      </c>
      <c r="C2" s="2" t="inlineStr">
        <is>
          <t>27 Nov 1830</t>
        </is>
      </c>
      <c r="D2" s="2" t="inlineStr">
        <is>
          <t>Unknown</t>
        </is>
      </c>
      <c r="E2" s="2" t="inlineStr">
        <is>
          <t>Unknown (pre-Grandjot)</t>
        </is>
      </c>
      <c r="F2" s="2" t="inlineStr">
        <is>
          <t>Unknown</t>
        </is>
      </c>
      <c r="G2" s="2" t="inlineStr">
        <is>
          <t>Archion Trendelburg Taufen 220108; Stammtafel; Ancestry collection 2495 (Plymouth marriage)</t>
        </is>
      </c>
      <c r="H2" s="2" t="inlineStr">
        <is>
          <t>Pre-Grandjot child. Married Catherine Sharda, Plymouth MA, 6 Oct 1855. NOT Charles Gannsen.</t>
        </is>
      </c>
    </row>
    <row r="3">
      <c r="A3" s="2" t="n">
        <v>2</v>
      </c>
      <c r="B3" s="2" t="inlineStr">
        <is>
          <t>Charlotte Herwig (Plymouth)</t>
        </is>
      </c>
      <c r="C3" s="2" t="inlineStr">
        <is>
          <t>~1830</t>
        </is>
      </c>
      <c r="D3" s="2" t="inlineStr">
        <is>
          <t>Unknown</t>
        </is>
      </c>
      <c r="E3" s="2" t="inlineStr">
        <is>
          <t>Unknown (pre-Grandjot)</t>
        </is>
      </c>
      <c r="F3" s="2" t="inlineStr">
        <is>
          <t>Unknown</t>
        </is>
      </c>
      <c r="G3" s="2" t="inlineStr">
        <is>
          <t>Ancestry #14571935 (Plymouth marriage)</t>
        </is>
      </c>
      <c r="H3" s="2" t="inlineStr">
        <is>
          <t>Pre-Grandjot child. Married John Tyan, Plymouth MA, 19 Apr 1855. NOT the Charlotte Herwig b. 1812.</t>
        </is>
      </c>
    </row>
    <row r="4">
      <c r="A4" s="2" t="n">
        <v>3</v>
      </c>
      <c r="B4" s="2" t="inlineStr">
        <is>
          <t>Jeanette Elisabeth Herwig</t>
        </is>
      </c>
      <c r="C4" s="2" t="inlineStr">
        <is>
          <t>4 Jul 1833</t>
        </is>
      </c>
      <c r="D4" s="2" t="inlineStr">
        <is>
          <t>Died in USA</t>
        </is>
      </c>
      <c r="E4" s="2" t="inlineStr">
        <is>
          <t>Catharine Elisabeth Grandjot</t>
        </is>
      </c>
      <c r="F4" s="2" t="inlineStr">
        <is>
          <t>Unknown</t>
        </is>
      </c>
      <c r="G4" s="2" t="inlineStr">
        <is>
          <t>Stammtafel; Ancestry #13462832 ('Chanette Herwig × John Pfan', Plymouth, 16 Apr 1855)</t>
        </is>
      </c>
      <c r="H4" s="2" t="inlineStr">
        <is>
          <t>Grandjot child #1. 'Chanette' = Jeanette.</t>
        </is>
      </c>
    </row>
    <row r="5">
      <c r="A5" s="2" t="n">
        <v>4</v>
      </c>
      <c r="B5" s="2" t="inlineStr">
        <is>
          <t>Maria Magdalena Herwig</t>
        </is>
      </c>
      <c r="C5" s="2" t="inlineStr">
        <is>
          <t>11 Apr 1835</t>
        </is>
      </c>
      <c r="D5" s="2" t="inlineStr">
        <is>
          <t>Died in USA</t>
        </is>
      </c>
      <c r="E5" s="2" t="inlineStr">
        <is>
          <t>Catharine Elisabeth Grandjot</t>
        </is>
      </c>
      <c r="F5" s="2" t="inlineStr">
        <is>
          <t>Unknown</t>
        </is>
      </c>
      <c r="G5" s="2" t="inlineStr">
        <is>
          <t>Stammtafel</t>
        </is>
      </c>
      <c r="H5" s="2" t="inlineStr">
        <is>
          <t>Grandjot child #2</t>
        </is>
      </c>
    </row>
    <row r="6">
      <c r="A6" s="2" t="n">
        <v>5</v>
      </c>
      <c r="B6" s="2" t="inlineStr">
        <is>
          <t>Caroline Philippine Herwig</t>
        </is>
      </c>
      <c r="C6" s="2" t="inlineStr">
        <is>
          <t>5 Apr 1837</t>
        </is>
      </c>
      <c r="D6" s="2" t="inlineStr">
        <is>
          <t>Unknown (likely died young)</t>
        </is>
      </c>
      <c r="E6" s="2" t="inlineStr">
        <is>
          <t>Catharine Elisabeth Grandjot</t>
        </is>
      </c>
      <c r="F6" s="2" t="inlineStr">
        <is>
          <t>Unknown</t>
        </is>
      </c>
      <c r="G6" s="2" t="inlineStr">
        <is>
          <t>Stammtafel; Archion Trendelburg Taufen 220108, image 1438, entry 187</t>
        </is>
      </c>
      <c r="H6" s="2" t="inlineStr">
        <is>
          <t>Grandjot child #3. Does not appear in emigration list - likely died in infancy.</t>
        </is>
      </c>
    </row>
    <row r="7">
      <c r="A7" s="2" t="n">
        <v>6</v>
      </c>
      <c r="B7" s="2" t="inlineStr">
        <is>
          <t>Carl Peter Herwig</t>
        </is>
      </c>
      <c r="C7" s="2" t="inlineStr">
        <is>
          <t>24 Oct 1841</t>
        </is>
      </c>
      <c r="D7" s="2" t="inlineStr">
        <is>
          <t>Died in USA</t>
        </is>
      </c>
      <c r="E7" s="2" t="inlineStr">
        <is>
          <t>Catharine Elisabeth Grandjot</t>
        </is>
      </c>
      <c r="F7" s="2" t="inlineStr">
        <is>
          <t>Unknown</t>
        </is>
      </c>
      <c r="G7" s="2" t="inlineStr">
        <is>
          <t>Stammtafel</t>
        </is>
      </c>
      <c r="H7" s="2" t="inlineStr">
        <is>
          <t>Grandjot child #4</t>
        </is>
      </c>
    </row>
    <row r="8">
      <c r="A8" s="2" t="n">
        <v>7</v>
      </c>
      <c r="B8" s="2" t="inlineStr">
        <is>
          <t>Carl August Theodor Herwig</t>
        </is>
      </c>
      <c r="C8" s="2" t="inlineStr">
        <is>
          <t>23 Jul 1844</t>
        </is>
      </c>
      <c r="D8" s="2" t="inlineStr">
        <is>
          <t>Died in USA</t>
        </is>
      </c>
      <c r="E8" s="2" t="inlineStr">
        <is>
          <t>Catharine Elisabeth Grandjot</t>
        </is>
      </c>
      <c r="F8" s="2" t="inlineStr">
        <is>
          <t>Unknown</t>
        </is>
      </c>
      <c r="G8" s="2" t="inlineStr">
        <is>
          <t>Stammtafel</t>
        </is>
      </c>
      <c r="H8" s="2" t="inlineStr">
        <is>
          <t>Grandjot child #5</t>
        </is>
      </c>
    </row>
    <row r="9">
      <c r="A9" s="2" t="n">
        <v>8</v>
      </c>
      <c r="B9" s="10" t="inlineStr">
        <is>
          <t>Carl Ludwig Herwig (UNVERIFIED)</t>
        </is>
      </c>
      <c r="C9" s="2" t="inlineStr">
        <is>
          <t>~1829</t>
        </is>
      </c>
      <c r="D9" s="2" t="inlineStr">
        <is>
          <t>1829</t>
        </is>
      </c>
      <c r="E9" s="2" t="inlineStr">
        <is>
          <t>Unknown (pre-Grandjot)</t>
        </is>
      </c>
      <c r="F9" s="2" t="inlineStr">
        <is>
          <t>Unknown</t>
        </is>
      </c>
      <c r="G9" s="2" t="inlineStr">
        <is>
          <t>FamilySearch LRZG-GRC (0 sources)</t>
        </is>
      </c>
      <c r="H9" s="10" t="inlineStr">
        <is>
          <t>UNVERIFIED. Not in Stammtafel. Infant who died same year. Possibly legitimate child who died before Carl Louis (b. 1830) was born. PID: LRZG-GRC.</t>
        </is>
      </c>
    </row>
    <row r="10">
      <c r="A10" s="2" t="n">
        <v>9</v>
      </c>
      <c r="B10" s="10" t="inlineStr">
        <is>
          <t>Friedrich Wilhelm Herwig (UNVERIFIED)</t>
        </is>
      </c>
      <c r="C10" s="2" t="inlineStr">
        <is>
          <t>~1839</t>
        </is>
      </c>
      <c r="D10" s="2" t="inlineStr">
        <is>
          <t>1848</t>
        </is>
      </c>
      <c r="E10" s="2" t="inlineStr">
        <is>
          <t>Catharine Elisabeth Grandjot</t>
        </is>
      </c>
      <c r="F10" s="2" t="inlineStr">
        <is>
          <t>Unknown</t>
        </is>
      </c>
      <c r="G10" s="2" t="inlineStr">
        <is>
          <t>FamilySearch PCXY-MN1 (0 sources)</t>
        </is>
      </c>
      <c r="H10" s="10" t="inlineStr">
        <is>
          <t>UNVERIFIED. Not in Stammtafel. Died age ~9. Fits chronologically between Caroline (1837) and Carl Peter (1841). PID: PCXY-MN1.</t>
        </is>
      </c>
    </row>
  </sheetData>
  <autoFilter ref="A1:H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zoomScale="90" workbookViewId="0">
      <pane ySplit="1" topLeftCell="A2" activePane="bottomLeft" state="frozen"/>
      <selection pane="bottomLeft" activeCell="A1" sqref="A1"/>
    </sheetView>
  </sheetViews>
  <sheetFormatPr baseColWidth="8" defaultRowHeight="15"/>
  <cols>
    <col width="25" customWidth="1" min="1" max="1"/>
    <col width="55" customWidth="1" min="2" max="2"/>
    <col width="45" customWidth="1" min="3" max="3"/>
    <col width="55" customWidth="1" min="4" max="4"/>
  </cols>
  <sheetData>
    <row r="1">
      <c r="A1" s="1" t="inlineStr">
        <is>
          <t>Abbreviation</t>
        </is>
      </c>
      <c r="B1" s="1" t="inlineStr">
        <is>
          <t>Full Source Reference</t>
        </is>
      </c>
      <c r="C1" s="1" t="inlineStr">
        <is>
          <t>Archive / Repository</t>
        </is>
      </c>
      <c r="D1" s="1" t="inlineStr">
        <is>
          <t>Access Notes</t>
        </is>
      </c>
    </row>
    <row r="2">
      <c r="A2" s="2" t="inlineStr">
        <is>
          <t>Stammtafel</t>
        </is>
      </c>
      <c r="B2" s="2" t="inlineStr">
        <is>
          <t>Peter Schrader Stammtafel for Anna Christina Heidt</t>
        </is>
      </c>
      <c r="C2" s="2" t="inlineStr">
        <is>
          <t>Peter Schrader (peter-schraeder@t-online.de), personal research</t>
        </is>
      </c>
      <c r="D2" s="2" t="inlineStr">
        <is>
          <t>Received March 26, 2026 via email</t>
        </is>
      </c>
    </row>
    <row r="3">
      <c r="A3" s="2" t="inlineStr">
        <is>
          <t>Archion 220114</t>
        </is>
      </c>
      <c r="B3" s="2" t="inlineStr">
        <is>
          <t>Trendelburg Lutheran burial register (Sterbefälle) 1819-1875</t>
        </is>
      </c>
      <c r="C3" s="2" t="inlineStr">
        <is>
          <t>Archion.de (Evangelische Kirche von Kurhessen-Waldeck)</t>
        </is>
      </c>
      <c r="D3" s="2" t="inlineStr">
        <is>
          <t>Online; Image 682, Entry 4 = Andreas Konze burial</t>
        </is>
      </c>
    </row>
    <row r="4">
      <c r="A4" s="2" t="inlineStr">
        <is>
          <t>Archion 220108</t>
        </is>
      </c>
      <c r="B4" s="2" t="inlineStr">
        <is>
          <t>Trendelburg Lutheran baptism register (Taufen) 1830-1863</t>
        </is>
      </c>
      <c r="C4" s="2" t="inlineStr">
        <is>
          <t>Archion.de</t>
        </is>
      </c>
      <c r="D4" s="2" t="inlineStr">
        <is>
          <t>Online; 1,660 images</t>
        </is>
      </c>
    </row>
    <row r="5">
      <c r="A5" s="2" t="inlineStr">
        <is>
          <t>Archion 220120</t>
        </is>
      </c>
      <c r="B5" s="2" t="inlineStr">
        <is>
          <t>Trendelburg Lutheran marriage register (Trauungen) 1830-1892</t>
        </is>
      </c>
      <c r="C5" s="2" t="inlineStr">
        <is>
          <t>Archion.de</t>
        </is>
      </c>
      <c r="D5" s="2" t="inlineStr">
        <is>
          <t>Online; 16 Dec 1827 entry = Andreas Konze (b.1795) × Maria Sophia Hofeditz</t>
        </is>
      </c>
    </row>
    <row r="6">
      <c r="A6" s="2" t="inlineStr">
        <is>
          <t>Archion 220099</t>
        </is>
      </c>
      <c r="B6" s="2" t="inlineStr">
        <is>
          <t>Trendelburg Kirchenbuch 1819-1831 (mixed register)</t>
        </is>
      </c>
      <c r="C6" s="2" t="inlineStr">
        <is>
          <t>Archion.de</t>
        </is>
      </c>
      <c r="D6" s="2" t="inlineStr">
        <is>
          <t>Online; confirmations and marriages for Konze children</t>
        </is>
      </c>
    </row>
    <row r="7">
      <c r="A7" s="2" t="inlineStr">
        <is>
          <t>Archion 220093</t>
        </is>
      </c>
      <c r="B7" s="2" t="inlineStr">
        <is>
          <t>Trendelburg Kirchenbuch 1708-1772</t>
        </is>
      </c>
      <c r="C7" s="2" t="inlineStr">
        <is>
          <t>Archion.de</t>
        </is>
      </c>
      <c r="D7" s="2" t="inlineStr">
        <is>
          <t>Online; pre-gap register</t>
        </is>
      </c>
    </row>
    <row r="8">
      <c r="A8" s="2" t="inlineStr">
        <is>
          <t>Archion 218824</t>
        </is>
      </c>
      <c r="B8" s="2" t="inlineStr">
        <is>
          <t>Deisel Kirchenbuch 1796-1831</t>
        </is>
      </c>
      <c r="C8" s="2" t="inlineStr">
        <is>
          <t>Archion.de</t>
        </is>
      </c>
      <c r="D8" s="2" t="inlineStr">
        <is>
          <t>Online; 245 images. Kontze burial entries found.</t>
        </is>
      </c>
    </row>
    <row r="9">
      <c r="A9" s="2" t="inlineStr">
        <is>
          <t>Archion 218821</t>
        </is>
      </c>
      <c r="B9" s="2" t="inlineStr">
        <is>
          <t>Deisel Kirchenbuch 1736-1796</t>
        </is>
      </c>
      <c r="C9" s="2" t="inlineStr">
        <is>
          <t>Archion.de</t>
        </is>
      </c>
      <c r="D9" s="2" t="inlineStr">
        <is>
          <t>Online; Andreas Kontze (I) burial found image 1559</t>
        </is>
      </c>
    </row>
    <row r="10">
      <c r="A10" s="2" t="inlineStr">
        <is>
          <t>KB 1773-1818</t>
        </is>
      </c>
      <c r="B10" s="2" t="inlineStr">
        <is>
          <t>Trendelburg Kirchenbuch 1773-1818 (NOT digitized)</t>
        </is>
      </c>
      <c r="C10" s="2" t="inlineStr">
        <is>
          <t>Landeskirchliches Archiv Kassel (archiv@ekkw.de)</t>
        </is>
      </c>
      <c r="D10" s="2" t="inlineStr">
        <is>
          <t>Physical only. 47-year gap. Contains Charlotte Herwig baptism, Andreas Konze parentage, Hofmann marriage.</t>
        </is>
      </c>
    </row>
    <row r="11">
      <c r="A11" s="2" t="inlineStr">
        <is>
          <t>Peter Schrader PDF</t>
        </is>
      </c>
      <c r="B11" s="2" t="inlineStr">
        <is>
          <t>Attachment 'Andreas Konze.pdf' from April 3, 2026 email</t>
        </is>
      </c>
      <c r="C11" s="2" t="inlineStr">
        <is>
          <t>Peter Schrader personal research</t>
        </is>
      </c>
      <c r="D11" s="2" t="inlineStr">
        <is>
          <t>Identifies Andreas Konze b. 1795 (son of Friedrich) and his Hofeditz marriages</t>
        </is>
      </c>
    </row>
    <row r="12">
      <c r="A12" s="2" t="inlineStr">
        <is>
          <t>Peter Schrader April 4</t>
        </is>
      </c>
      <c r="B12" s="2" t="inlineStr">
        <is>
          <t>Email correction of Charlotte Herwig baptism record</t>
        </is>
      </c>
      <c r="C12" s="2" t="inlineStr">
        <is>
          <t>Peter Schrader personal research (reading physical register)</t>
        </is>
      </c>
      <c r="D12" s="2" t="inlineStr">
        <is>
          <t>Corrects mother as Anna Christina widow of Herwig; illegitimate status; godparents</t>
        </is>
      </c>
    </row>
    <row r="13">
      <c r="A13" s="2" t="inlineStr">
        <is>
          <t>FS ARK 61903/1:1:V2DX-4HX</t>
        </is>
      </c>
      <c r="B13" s="2" t="inlineStr">
        <is>
          <t>Charles Gannsen marriage record, St. Marcus Church, St. Louis</t>
        </is>
      </c>
      <c r="C13" s="2" t="inlineStr">
        <is>
          <t>FamilySearch (Digital Folder 007513821)</t>
        </is>
      </c>
      <c r="D13" s="2" t="inlineStr">
        <is>
          <t>Record #676: 'Carl Gonnson, aus Deisse, Kreis Cassel, Churhessen'</t>
        </is>
      </c>
    </row>
    <row r="14">
      <c r="A14" s="2" t="inlineStr">
        <is>
          <t>FS ARK LZXC-6GB</t>
        </is>
      </c>
      <c r="B14" s="2" t="inlineStr">
        <is>
          <t>Charles Gannsen FamilySearch family tree entry</t>
        </is>
      </c>
      <c r="C14" s="2" t="inlineStr">
        <is>
          <t>FamilySearch Family Tree</t>
        </is>
      </c>
      <c r="D14" s="2" t="inlineStr">
        <is>
          <t>Primary research subject</t>
        </is>
      </c>
    </row>
    <row r="15">
      <c r="A15" s="2" t="inlineStr">
        <is>
          <t>FS collection 1068</t>
        </is>
      </c>
      <c r="B15" s="2" t="inlineStr">
        <is>
          <t>U.S. and Canada Passenger and Immigration Lists</t>
        </is>
      </c>
      <c r="C15" s="2" t="inlineStr">
        <is>
          <t>FamilySearch</t>
        </is>
      </c>
      <c r="D15" s="2" t="inlineStr">
        <is>
          <t>Helene Herwig ('Hlem Herwig'), ship Republic, 25 Sep 1855</t>
        </is>
      </c>
    </row>
    <row r="16">
      <c r="A16" s="2" t="inlineStr">
        <is>
          <t>Ancestry 2495</t>
        </is>
      </c>
      <c r="B16" s="2" t="inlineStr">
        <is>
          <t>Massachusetts Town and Vital Records, 1620-1988</t>
        </is>
      </c>
      <c r="C16" s="2" t="inlineStr">
        <is>
          <t>Ancestry.com</t>
        </is>
      </c>
      <c r="D16" s="2" t="inlineStr">
        <is>
          <t>Plymouth marriage records 1855 (Herwig family)</t>
        </is>
      </c>
    </row>
    <row r="17">
      <c r="A17" s="2" t="inlineStr">
        <is>
          <t>Ancestry 61119</t>
        </is>
      </c>
      <c r="B17" s="2" t="inlineStr">
        <is>
          <t>Hesse, Germany, Civil Death Records, various years</t>
        </is>
      </c>
      <c r="C17" s="2" t="inlineStr">
        <is>
          <t>Ancestry.com</t>
        </is>
      </c>
      <c r="D17" s="2" t="inlineStr">
        <is>
          <t>Deisel Konze death records (Andreas, Ludwig, Philipp Theodor)</t>
        </is>
      </c>
    </row>
    <row r="18">
      <c r="A18" s="2" t="inlineStr">
        <is>
          <t>Grandjot report</t>
        </is>
      </c>
      <c r="B18" s="2" t="inlineStr">
        <is>
          <t>Grandjot genealogy report (Herwig/Grandjot family)</t>
        </is>
      </c>
      <c r="C18" s="2" t="inlineStr">
        <is>
          <t>Peter Schrader / family records</t>
        </is>
      </c>
      <c r="D18" s="2" t="inlineStr">
        <is>
          <t>Documents Johannes Herwig × Catharine Elisabeth Grandjot and their children; emigration 1854</t>
        </is>
      </c>
    </row>
    <row r="19">
      <c r="A19" s="2" t="inlineStr">
        <is>
          <t>Pension file</t>
        </is>
      </c>
      <c r="B19" s="2" t="inlineStr">
        <is>
          <t>Civil War pension file for Charles Gannsen / Charles L. Johnson</t>
        </is>
      </c>
      <c r="C19" s="2" t="inlineStr">
        <is>
          <t>National Archives (NARA)</t>
        </is>
      </c>
      <c r="D19" s="2" t="inlineStr">
        <is>
          <t>Battery B, 2nd Missouri Light Artillery. Birth date, service dates, disability records.</t>
        </is>
      </c>
    </row>
    <row r="20">
      <c r="A20" s="2" t="inlineStr">
        <is>
          <t>Bap JEH.jpg</t>
        </is>
      </c>
      <c r="B20" s="2" t="inlineStr">
        <is>
          <t>Baptism record image of Johann Eckhard Herwig</t>
        </is>
      </c>
      <c r="C20" s="2" t="inlineStr">
        <is>
          <t>Peter Schrader (Erbsen parish register)</t>
        </is>
      </c>
      <c r="D20" s="2" t="inlineStr">
        <is>
          <t>Corrects birth to 17 Dec 1766 (baptized 21 Dec 1766); mother: Catharine Elisabeth née Voigt</t>
        </is>
      </c>
    </row>
    <row r="21">
      <c r="A21" s="2" t="inlineStr">
        <is>
          <t>FS PID KCJC-M6T</t>
        </is>
      </c>
      <c r="B21" s="2" t="inlineStr">
        <is>
          <t>Johann Eckard Herwig — FamilySearch Family Tree person page</t>
        </is>
      </c>
      <c r="C21" s="2" t="inlineStr">
        <is>
          <t>FamilySearch Family Tree</t>
        </is>
      </c>
      <c r="D21" s="2" t="inlineStr">
        <is>
          <t>Name spelling 'Eckard' needs correction to 'Eckhard'. 0 sources attached. Last changed by Marlies584 (name) and Jed S Johnson (birth/death). Parents: KCBR-6FP + K4BL-7VC.</t>
        </is>
      </c>
    </row>
    <row r="22">
      <c r="A22" s="2" t="inlineStr">
        <is>
          <t>FS PID LRZG-FY7</t>
        </is>
      </c>
      <c r="B22" s="2" t="inlineStr">
        <is>
          <t>Anna Christina Heidt — FamilySearch Family Tree person page</t>
        </is>
      </c>
      <c r="C22" s="2" t="inlineStr">
        <is>
          <t>FamilySearch Family Tree</t>
        </is>
      </c>
      <c r="D22" s="2" t="inlineStr">
        <is>
          <t>1 source attached. Missing 2nd and 3rd spouses. Missing daughter Charlotte Herwig. FS flags 'Possible Missing Child' and 'Person May Have Another Spouse.'</t>
        </is>
      </c>
    </row>
    <row r="23">
      <c r="A23" s="2" t="inlineStr">
        <is>
          <t>FS PID LRZG-NML</t>
        </is>
      </c>
      <c r="B23" s="2" t="inlineStr">
        <is>
          <t>Johannes Herwig — FamilySearch Family Tree person page</t>
        </is>
      </c>
      <c r="C23" s="2" t="inlineStr">
        <is>
          <t>FamilySearch Family Tree</t>
        </is>
      </c>
      <c r="D23" s="2" t="inlineStr">
        <is>
          <t>3 sources attached. 8 children listed (2 unverified: Carl Ludwig 1829, Friedrich Wilhelm 1839). Spouse: LRZG-LPS (Catherine Elisabeth Grandjot). Immigration 1854 documented.</t>
        </is>
      </c>
    </row>
    <row r="24">
      <c r="A24" s="2" t="inlineStr">
        <is>
          <t>FS PID LRZG-KH8</t>
        </is>
      </c>
      <c r="B24" s="2" t="inlineStr">
        <is>
          <t>Carl Ludwig Herwig (1797) — UNVERIFIED child of J.E. Herwig</t>
        </is>
      </c>
      <c r="C24" s="2" t="inlineStr">
        <is>
          <t>FamilySearch Family Tree</t>
        </is>
      </c>
      <c r="D24" s="2" t="inlineStr">
        <is>
          <t>0 sources. Added by Dennis Bradley1, Jan 2017. Not in Stammtafel. Needs Peter Schrader verification.</t>
        </is>
      </c>
    </row>
    <row r="25">
      <c r="A25" s="2" t="inlineStr">
        <is>
          <t>FS PID LRZG-PZG</t>
        </is>
      </c>
      <c r="B25" s="2" t="inlineStr">
        <is>
          <t>Christina Wilhelmina Herwig (1800) — UNVERIFIED child of J.E. Herwig</t>
        </is>
      </c>
      <c r="C25" s="2" t="inlineStr">
        <is>
          <t>FamilySearch Family Tree</t>
        </is>
      </c>
      <c r="D25" s="2" t="inlineStr">
        <is>
          <t>0 sources. Added by Dennis Bradley1, Jan 2017. Birth date 3 Jun 1800. Not in Stammtafel. Needs verification.</t>
        </is>
      </c>
    </row>
  </sheetData>
  <autoFilter ref="A1:D2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1"/>
  <sheetViews>
    <sheetView zoomScale="90" workbookViewId="0">
      <pane ySplit="1" topLeftCell="A2" activePane="bottomLeft" state="frozen"/>
      <selection pane="bottomLeft" activeCell="A1" sqref="A1"/>
    </sheetView>
  </sheetViews>
  <sheetFormatPr baseColWidth="8" defaultRowHeight="15"/>
  <cols>
    <col width="4" customWidth="1" min="1" max="1"/>
    <col width="40" customWidth="1" min="2" max="2"/>
    <col width="5" customWidth="1" min="3" max="3"/>
    <col width="18" customWidth="1" min="4" max="4"/>
    <col width="22" customWidth="1" min="5" max="5"/>
    <col width="22" customWidth="1" min="6" max="6"/>
    <col width="22" customWidth="1" min="7" max="7"/>
    <col width="35" customWidth="1" min="8" max="8"/>
    <col width="35" customWidth="1" min="9" max="9"/>
    <col width="45" customWidth="1" min="10" max="10"/>
    <col width="25" customWidth="1" min="11" max="11"/>
    <col width="22" customWidth="1" min="12" max="12"/>
    <col width="28" customWidth="1" min="13" max="13"/>
    <col width="65" customWidth="1" min="14" max="14"/>
    <col width="65" customWidth="1" min="15" max="15"/>
  </cols>
  <sheetData>
    <row r="1">
      <c r="A1" s="1" t="inlineStr">
        <is>
          <t>#</t>
        </is>
      </c>
      <c r="B1" s="1" t="inlineStr">
        <is>
          <t>Full Name</t>
        </is>
      </c>
      <c r="C1" s="1" t="inlineStr">
        <is>
          <t>Gen.</t>
        </is>
      </c>
      <c r="D1" s="1" t="inlineStr">
        <is>
          <t>Birth Date</t>
        </is>
      </c>
      <c r="E1" s="1" t="inlineStr">
        <is>
          <t>Birth Place</t>
        </is>
      </c>
      <c r="F1" s="1" t="inlineStr">
        <is>
          <t>Death Date</t>
        </is>
      </c>
      <c r="G1" s="1" t="inlineStr">
        <is>
          <t>Death Place</t>
        </is>
      </c>
      <c r="H1" s="1" t="inlineStr">
        <is>
          <t>Father</t>
        </is>
      </c>
      <c r="I1" s="1" t="inlineStr">
        <is>
          <t>Mother</t>
        </is>
      </c>
      <c r="J1" s="1" t="inlineStr">
        <is>
          <t>Spouse(s)</t>
        </is>
      </c>
      <c r="K1" s="1" t="inlineStr">
        <is>
          <t>Marriage Date(s)</t>
        </is>
      </c>
      <c r="L1" s="1" t="inlineStr">
        <is>
          <t>Marriage Place(s)</t>
        </is>
      </c>
      <c r="M1" s="1" t="inlineStr">
        <is>
          <t>Occupation / Status</t>
        </is>
      </c>
      <c r="N1" s="1" t="inlineStr">
        <is>
          <t>Source(s)</t>
        </is>
      </c>
      <c r="O1" s="1" t="inlineStr">
        <is>
          <t>Notes</t>
        </is>
      </c>
    </row>
    <row r="2">
      <c r="A2" s="6" t="n">
        <v>1</v>
      </c>
      <c r="B2" s="6" t="inlineStr">
        <is>
          <t>Johann Henrich Kontze I ('the elder')</t>
        </is>
      </c>
      <c r="C2" s="6" t="inlineStr">
        <is>
          <t>-1</t>
        </is>
      </c>
      <c r="D2" s="6" t="inlineStr">
        <is>
          <t>Unknown</t>
        </is>
      </c>
      <c r="E2" s="6" t="inlineStr">
        <is>
          <t>Trendelburg (probable)</t>
        </is>
      </c>
      <c r="F2" s="6" t="inlineStr">
        <is>
          <t>Before Feb 1774</t>
        </is>
      </c>
      <c r="G2" s="6" t="inlineStr">
        <is>
          <t>Trendelburg (probable)</t>
        </is>
      </c>
      <c r="H2" s="6" t="inlineStr">
        <is>
          <t>Unknown</t>
        </is>
      </c>
      <c r="I2" s="6" t="inlineStr">
        <is>
          <t>Unknown</t>
        </is>
      </c>
      <c r="J2" s="6" t="inlineStr">
        <is>
          <t>Unknown</t>
        </is>
      </c>
      <c r="K2" s="6" t="inlineStr"/>
      <c r="L2" s="6" t="inlineStr"/>
      <c r="M2" s="6" t="inlineStr">
        <is>
          <t>Rathsverwandter (town councilman)</t>
        </is>
      </c>
      <c r="N2" s="6" t="inlineStr">
        <is>
          <t>Archion 220096, marriage of daughter Anna Margaretha (17 Feb 1774, image 1139, p. 288)</t>
        </is>
      </c>
      <c r="O2" s="6" t="inlineStr">
        <is>
          <t>Already deceased ('veiland') by Feb 1774 when daughter married. Relationship to Arnold Philipp unknown — possibly his father, brother, or uncle.</t>
        </is>
      </c>
    </row>
    <row r="3">
      <c r="A3" s="6" t="n">
        <v>2</v>
      </c>
      <c r="B3" s="6" t="inlineStr">
        <is>
          <t>Arnold Philipp Kontze</t>
        </is>
      </c>
      <c r="C3" s="6" t="inlineStr">
        <is>
          <t>0</t>
        </is>
      </c>
      <c r="D3" s="6" t="inlineStr">
        <is>
          <t>Unknown</t>
        </is>
      </c>
      <c r="E3" s="6" t="inlineStr">
        <is>
          <t>Trendelburg</t>
        </is>
      </c>
      <c r="F3" s="6" t="inlineStr">
        <is>
          <t>Before Nov 1780</t>
        </is>
      </c>
      <c r="G3" s="6" t="inlineStr">
        <is>
          <t>Trendelburg (probable)</t>
        </is>
      </c>
      <c r="H3" s="6" t="inlineStr">
        <is>
          <t>Unknown</t>
        </is>
      </c>
      <c r="I3" s="6" t="inlineStr">
        <is>
          <t>Unknown</t>
        </is>
      </c>
      <c r="J3" s="6" t="inlineStr">
        <is>
          <t>Unknown</t>
        </is>
      </c>
      <c r="K3" s="6" t="inlineStr"/>
      <c r="L3" s="6" t="inlineStr"/>
      <c r="M3" s="6" t="inlineStr">
        <is>
          <t>Rathsverwandter (town councilman)</t>
        </is>
      </c>
      <c r="N3" s="6" t="inlineStr">
        <is>
          <t>Archion 220096: marriage entries of sons Johann Henrich II (1773, p. 288) and Johannes (1780, p. 296)</t>
        </is>
      </c>
      <c r="O3" s="6" t="inlineStr">
        <is>
          <t>Civic leader. At least 2 sons: Johann Henrich II (eldest) and Johannes (second son). Described as 'weyland' in son Johannes's 1780 marriage.</t>
        </is>
      </c>
    </row>
    <row r="4">
      <c r="A4" s="6" t="n">
        <v>3</v>
      </c>
      <c r="B4" s="6" t="inlineStr">
        <is>
          <t>Joh. Andreas Contze (II)</t>
        </is>
      </c>
      <c r="C4" s="6" t="inlineStr">
        <is>
          <t>0</t>
        </is>
      </c>
      <c r="D4" s="6" t="inlineStr">
        <is>
          <t>~1722 (age 78 at death)</t>
        </is>
      </c>
      <c r="E4" s="6" t="inlineStr">
        <is>
          <t>Trendelburg (probable)</t>
        </is>
      </c>
      <c r="F4" s="6" t="inlineStr">
        <is>
          <t>9 Nov 1800</t>
        </is>
      </c>
      <c r="G4" s="6" t="inlineStr">
        <is>
          <t>Trendelburg</t>
        </is>
      </c>
      <c r="H4" s="6" t="inlineStr">
        <is>
          <t>Unknown</t>
        </is>
      </c>
      <c r="I4" s="6" t="inlineStr">
        <is>
          <t>Unknown</t>
        </is>
      </c>
      <c r="J4" s="6" t="inlineStr">
        <is>
          <t>Anna Christina née Contzen (b. ~1728, d. 1807)</t>
        </is>
      </c>
      <c r="K4" s="6" t="inlineStr">
        <is>
          <t>Unknown</t>
        </is>
      </c>
      <c r="L4" s="6" t="inlineStr"/>
      <c r="M4" s="6" t="inlineStr">
        <is>
          <t>Ackermann (farmer)</t>
        </is>
      </c>
      <c r="N4" s="6" t="inlineStr">
        <is>
          <t>Archion 220096 burials, image 1196-1200 (§11.17.2); widow's burial image 1204 (§11.23.1)</t>
        </is>
      </c>
      <c r="O4" s="6" t="inlineStr">
        <is>
          <t>CONFIRMED as a DIFFERENT person from Andreas Kontze I (Küster of Deisel, d. 1791). This Andreas lived in Trendelburg as farmer. Wife Anna Christina née Contzen was from a different Contze branch (endogamous marriage).</t>
        </is>
      </c>
    </row>
    <row r="5">
      <c r="A5" s="6" t="n">
        <v>4</v>
      </c>
      <c r="B5" s="6" t="inlineStr">
        <is>
          <t>Anna Christina née Contzen</t>
        </is>
      </c>
      <c r="C5" s="6" t="inlineStr">
        <is>
          <t>0</t>
        </is>
      </c>
      <c r="D5" s="6" t="inlineStr">
        <is>
          <t>~1728 (age ~79 at death)</t>
        </is>
      </c>
      <c r="E5" s="6" t="inlineStr">
        <is>
          <t>Unknown (Contze branch)</t>
        </is>
      </c>
      <c r="F5" s="6" t="inlineStr">
        <is>
          <t>1807 (buried 9 Mar 1807)</t>
        </is>
      </c>
      <c r="G5" s="6" t="inlineStr">
        <is>
          <t>Trendelburg</t>
        </is>
      </c>
      <c r="H5" s="6" t="inlineStr">
        <is>
          <t>Unknown (Contzen)</t>
        </is>
      </c>
      <c r="I5" s="6" t="inlineStr">
        <is>
          <t>Unknown</t>
        </is>
      </c>
      <c r="J5" s="6" t="inlineStr">
        <is>
          <t>Joh. Andreas Contze (II) (d. 1800)</t>
        </is>
      </c>
      <c r="K5" s="6" t="inlineStr">
        <is>
          <t>Unknown</t>
        </is>
      </c>
      <c r="L5" s="6" t="inlineStr"/>
      <c r="M5" s="6" t="inlineStr">
        <is>
          <t>Widow</t>
        </is>
      </c>
      <c r="N5" s="6" t="inlineStr">
        <is>
          <t>Archion 220096 burials: image 1204, p. 413 (§11.11.1A); also image 1207 listing (§11.23.1)</t>
        </is>
      </c>
      <c r="O5" s="6" t="inlineStr">
        <is>
          <t>Née Contzen — maiden name from a different Contze family branch. Described as 'widow of Andreas Contze, Bürger und Ackermann.' Survived husband by ~7 years.</t>
        </is>
      </c>
    </row>
    <row r="6">
      <c r="A6" s="7" t="n">
        <v>5</v>
      </c>
      <c r="B6" s="7" t="inlineStr">
        <is>
          <t>Johann Henrich Kontze II</t>
        </is>
      </c>
      <c r="C6" s="7" t="inlineStr">
        <is>
          <t>1</t>
        </is>
      </c>
      <c r="D6" s="7" t="inlineStr">
        <is>
          <t>~1740 (age ~64 at death)</t>
        </is>
      </c>
      <c r="E6" s="7" t="inlineStr">
        <is>
          <t>Trendelburg</t>
        </is>
      </c>
      <c r="F6" s="7" t="inlineStr">
        <is>
          <t>2 May 1804</t>
        </is>
      </c>
      <c r="G6" s="7" t="inlineStr">
        <is>
          <t>Trendelburg</t>
        </is>
      </c>
      <c r="H6" s="7" t="inlineStr">
        <is>
          <t>Arnold Philipp Kontze (Rathsverwandter)</t>
        </is>
      </c>
      <c r="I6" s="7" t="inlineStr">
        <is>
          <t>Unknown</t>
        </is>
      </c>
      <c r="J6" s="7" t="inlineStr">
        <is>
          <t>1) Martha Elisabetha née Wiechand(?); 2) Anna Catharina née Asthermann</t>
        </is>
      </c>
      <c r="K6" s="7" t="inlineStr">
        <is>
          <t>1) 26 Nov 1773; 2) 5 Dec 1783</t>
        </is>
      </c>
      <c r="L6" s="7" t="inlineStr">
        <is>
          <t>1) Trendelburg; 2) Trendelburg</t>
        </is>
      </c>
      <c r="M6" s="7" t="inlineStr">
        <is>
          <t>Bürger und Ackermann (citizen and farmer)</t>
        </is>
      </c>
      <c r="N6" s="7" t="inlineStr">
        <is>
          <t>Archion 220096: 1st marriage image 1139 p. 288 (§11.13.1); 2nd marriage image 1143 p. 297 (§11.13.3); burial images 1196-1200 (§11.17.2); confirmation of son Andreas 1801 (§11.11.2)</t>
        </is>
      </c>
      <c r="O6" s="7" t="inlineStr">
        <is>
          <t>Eldest son of Arnold Philipp. Still alive April 1801 (no 'veiland' at son's confirmation). Possible daughters: Anna Catharina, Anna Christina, Anna Margaretha (married out). FamilySearch PID G8HG-P2S may incorrectly refer to Deisel Johann Henrich instead.</t>
        </is>
      </c>
    </row>
    <row r="7">
      <c r="A7" s="7" t="n">
        <v>6</v>
      </c>
      <c r="B7" s="7" t="inlineStr">
        <is>
          <t>Martha Elisabetha née Wiechand(?)</t>
        </is>
      </c>
      <c r="C7" s="7" t="inlineStr">
        <is>
          <t>1</t>
        </is>
      </c>
      <c r="D7" s="7" t="inlineStr">
        <is>
          <t>Unknown</t>
        </is>
      </c>
      <c r="E7" s="7" t="inlineStr">
        <is>
          <t>Trendelburg</t>
        </is>
      </c>
      <c r="F7" s="7" t="inlineStr">
        <is>
          <t>Before Dec 1783</t>
        </is>
      </c>
      <c r="G7" s="7" t="inlineStr">
        <is>
          <t>Trendelburg (probable)</t>
        </is>
      </c>
      <c r="H7" s="7" t="inlineStr">
        <is>
          <t>Christian Wiechand(?), Rathsverwandter of Trendelburg</t>
        </is>
      </c>
      <c r="I7" s="7" t="inlineStr">
        <is>
          <t>Unknown</t>
        </is>
      </c>
      <c r="J7" s="7" t="inlineStr">
        <is>
          <t>Johann Henrich Kontze II</t>
        </is>
      </c>
      <c r="K7" s="7" t="inlineStr">
        <is>
          <t>26 Nov 1773</t>
        </is>
      </c>
      <c r="L7" s="7" t="inlineStr">
        <is>
          <t>Trendelburg</t>
        </is>
      </c>
      <c r="M7" s="7" t="inlineStr"/>
      <c r="N7" s="7" t="inlineStr">
        <is>
          <t>Archion 220096: marriage p. 288, image 1139 (§11.13.1)</t>
        </is>
      </c>
      <c r="O7" s="7" t="inlineStr">
        <is>
          <t>First wife of Johann Henrich II. 'Legitimate eldest daughter' of a Rathsverwandter. Dead before December 1783 (Johann Henrich remarried).</t>
        </is>
      </c>
    </row>
    <row r="8">
      <c r="A8" s="7" t="n">
        <v>7</v>
      </c>
      <c r="B8" s="7" t="inlineStr">
        <is>
          <t>Anna Catharina née Asthermann</t>
        </is>
      </c>
      <c r="C8" s="7" t="inlineStr">
        <is>
          <t>1</t>
        </is>
      </c>
      <c r="D8" s="7" t="inlineStr">
        <is>
          <t>Unknown</t>
        </is>
      </c>
      <c r="E8" s="7" t="inlineStr">
        <is>
          <t>Ehr[?]schütz</t>
        </is>
      </c>
      <c r="F8" s="7" t="inlineStr">
        <is>
          <t>Unknown</t>
        </is>
      </c>
      <c r="G8" s="7" t="inlineStr">
        <is>
          <t>Unknown</t>
        </is>
      </c>
      <c r="H8" s="7" t="inlineStr">
        <is>
          <t>Conrad Asthermann</t>
        </is>
      </c>
      <c r="I8" s="7" t="inlineStr">
        <is>
          <t>Unknown</t>
        </is>
      </c>
      <c r="J8" s="7" t="inlineStr">
        <is>
          <t>Johann Henrich Kontze II</t>
        </is>
      </c>
      <c r="K8" s="7" t="inlineStr">
        <is>
          <t>5 Dec 1783</t>
        </is>
      </c>
      <c r="L8" s="7" t="inlineStr">
        <is>
          <t>Trendelburg</t>
        </is>
      </c>
      <c r="M8" s="7" t="inlineStr"/>
      <c r="N8" s="7" t="inlineStr">
        <is>
          <t>Archion 220096: marriage p. 297, image 1143 (§11.13.3); also named as mother in 1787 baptism (§11.1)</t>
        </is>
      </c>
      <c r="O8" s="7" t="inlineStr">
        <is>
          <t>Second wife of Johann Henrich II. Previously unreadable maiden name in baptism record now identified as Asthermann. From village of Ehr[?]schütz.</t>
        </is>
      </c>
    </row>
    <row r="9">
      <c r="A9" s="7" t="n">
        <v>8</v>
      </c>
      <c r="B9" s="7" t="inlineStr">
        <is>
          <t>Johannes Kontze</t>
        </is>
      </c>
      <c r="C9" s="7" t="inlineStr">
        <is>
          <t>1</t>
        </is>
      </c>
      <c r="D9" s="7" t="inlineStr">
        <is>
          <t>Unknown (~1750s?)</t>
        </is>
      </c>
      <c r="E9" s="7" t="inlineStr">
        <is>
          <t>Trendelburg</t>
        </is>
      </c>
      <c r="F9" s="7" t="inlineStr">
        <is>
          <t>Unknown (after 1806)</t>
        </is>
      </c>
      <c r="G9" s="7" t="inlineStr">
        <is>
          <t>Unknown</t>
        </is>
      </c>
      <c r="H9" s="7" t="inlineStr">
        <is>
          <t>Arnold Philipp Kontze (Rathsverwandter)</t>
        </is>
      </c>
      <c r="I9" s="7" t="inlineStr">
        <is>
          <t>Unknown</t>
        </is>
      </c>
      <c r="J9" s="7" t="inlineStr">
        <is>
          <t>1) Anna Margaretha née Thiele (of Deisel); 2) Maria Elisabeth née Grosbernd</t>
        </is>
      </c>
      <c r="K9" s="7" t="inlineStr">
        <is>
          <t>1) 30 Nov 1780; 2) 12 Jan 1806</t>
        </is>
      </c>
      <c r="L9" s="7" t="inlineStr">
        <is>
          <t>1) Trendelburg; 2) Trendelburg</t>
        </is>
      </c>
      <c r="M9" s="7" t="inlineStr">
        <is>
          <t>Bürger und Ackermann; also 'Jungconze' (Hausname)</t>
        </is>
      </c>
      <c r="N9" s="7" t="inlineStr">
        <is>
          <t>Archion 220096: 1st marriage p. 296, image 1143 (§11.13.4); 2nd marriage p. 321, image 1155 (§11.4); burial of 1st wife (§11.17.2); child burial (§11.17.2)</t>
        </is>
      </c>
      <c r="O9" s="7" t="inlineStr">
        <is>
          <t>Second son of Arnold Philipp. 1st wife from DEISEL — critical Trendelburg-Deisel link. Widower by 1806. 'Jungconze' Hausname indicates younger branch. Daughter: Anna Catharina (m. Doenges 1808). Child: Christina Charlotta (d. 9 May 1801, infant).</t>
        </is>
      </c>
    </row>
    <row r="10">
      <c r="A10" s="7" t="n">
        <v>9</v>
      </c>
      <c r="B10" s="7" t="inlineStr">
        <is>
          <t>Anna Margaretha née Thiele</t>
        </is>
      </c>
      <c r="C10" s="7" t="inlineStr">
        <is>
          <t>1</t>
        </is>
      </c>
      <c r="D10" s="7" t="inlineStr">
        <is>
          <t>~1750 (age ~54 at death)</t>
        </is>
      </c>
      <c r="E10" s="7" t="inlineStr">
        <is>
          <t>Deisel</t>
        </is>
      </c>
      <c r="F10" s="7" t="inlineStr">
        <is>
          <t>~1804/1805</t>
        </is>
      </c>
      <c r="G10" s="7" t="inlineStr">
        <is>
          <t>Trendelburg</t>
        </is>
      </c>
      <c r="H10" s="7" t="inlineStr">
        <is>
          <t>Johannes Thiele, Einwohner und Ackermann of Deisel</t>
        </is>
      </c>
      <c r="I10" s="7" t="inlineStr">
        <is>
          <t>Unknown</t>
        </is>
      </c>
      <c r="J10" s="7" t="inlineStr">
        <is>
          <t>Johannes Kontze</t>
        </is>
      </c>
      <c r="K10" s="7" t="inlineStr">
        <is>
          <t>30 Nov 1780</t>
        </is>
      </c>
      <c r="L10" s="7" t="inlineStr">
        <is>
          <t>Trendelburg</t>
        </is>
      </c>
      <c r="M10" s="7" t="inlineStr"/>
      <c r="N10" s="7" t="inlineStr">
        <is>
          <t>Archion 220096: marriage p. 296, image 1143 (§11.13.4); burial image 1196-1200 (§11.17.2 entry 6)</t>
        </is>
      </c>
      <c r="O10" s="7" t="inlineStr">
        <is>
          <t>First wife of Johannes Kontze. FROM DEISEL — this is a key Trendelburg-Deisel family connection. Mother of Anna Catharina Contze (m. Doenges).</t>
        </is>
      </c>
    </row>
    <row r="11">
      <c r="A11" s="7" t="n">
        <v>10</v>
      </c>
      <c r="B11" s="7" t="inlineStr">
        <is>
          <t>Maria Elisabeth née Grosbernd</t>
        </is>
      </c>
      <c r="C11" s="7" t="inlineStr">
        <is>
          <t>1</t>
        </is>
      </c>
      <c r="D11" s="7" t="inlineStr">
        <is>
          <t>Unknown</t>
        </is>
      </c>
      <c r="E11" s="7" t="inlineStr">
        <is>
          <t>Trendelburg</t>
        </is>
      </c>
      <c r="F11" s="7" t="inlineStr">
        <is>
          <t>Unknown</t>
        </is>
      </c>
      <c r="G11" s="7" t="inlineStr">
        <is>
          <t>Unknown</t>
        </is>
      </c>
      <c r="H11" s="7" t="inlineStr">
        <is>
          <t>Johannes Grosbernd (Wagner/wheelwright)</t>
        </is>
      </c>
      <c r="I11" s="7" t="inlineStr">
        <is>
          <t>Unknown</t>
        </is>
      </c>
      <c r="J11" s="7" t="inlineStr">
        <is>
          <t>Johannes Kontze</t>
        </is>
      </c>
      <c r="K11" s="7" t="inlineStr">
        <is>
          <t>12 Jan 1806</t>
        </is>
      </c>
      <c r="L11" s="7" t="inlineStr">
        <is>
          <t>Trendelburg</t>
        </is>
      </c>
      <c r="M11" s="7" t="inlineStr"/>
      <c r="N11" s="7" t="inlineStr">
        <is>
          <t>Archion 220096: marriage p. 321, image 1155 (§11.4)</t>
        </is>
      </c>
      <c r="O11" s="7" t="inlineStr">
        <is>
          <t>Second wife of Johannes Kontze. 'Surviving legitimate daughter of the late Johannes Grosbernd, citizen and wheelwright.'</t>
        </is>
      </c>
    </row>
    <row r="12">
      <c r="A12" s="7" t="n">
        <v>11</v>
      </c>
      <c r="B12" s="7" t="inlineStr">
        <is>
          <t>Johann Friedrich Kontze</t>
        </is>
      </c>
      <c r="C12" s="7" t="inlineStr">
        <is>
          <t>1</t>
        </is>
      </c>
      <c r="D12" s="7" t="inlineStr">
        <is>
          <t>14 Dec 1763</t>
        </is>
      </c>
      <c r="E12" s="7" t="inlineStr">
        <is>
          <t>Trendelburg (or Deisel)</t>
        </is>
      </c>
      <c r="F12" s="7" t="inlineStr">
        <is>
          <t>Unknown (after 1814)</t>
        </is>
      </c>
      <c r="G12" s="7" t="inlineStr">
        <is>
          <t>Unknown</t>
        </is>
      </c>
      <c r="H12" s="7" t="inlineStr">
        <is>
          <t>Andreas Kontze I (Küster of Deisel, d. 1791)</t>
        </is>
      </c>
      <c r="I12" s="7" t="inlineStr">
        <is>
          <t>Unknown</t>
        </is>
      </c>
      <c r="J12" s="7" t="inlineStr">
        <is>
          <t>1) Dorthea Elisabeth (daughter of Bürgermeister); 2) Wilhelmine née Grossbernd</t>
        </is>
      </c>
      <c r="K12" s="7" t="inlineStr">
        <is>
          <t>1) 15 Feb 1795; 2) Before 1808</t>
        </is>
      </c>
      <c r="L12" s="7" t="inlineStr">
        <is>
          <t>1) Trendelburg; 2) Trendelburg (probable)</t>
        </is>
      </c>
      <c r="M12" s="7" t="inlineStr">
        <is>
          <t>Ackermann (farmer)</t>
        </is>
      </c>
      <c r="N12" s="7" t="inlineStr">
        <is>
          <t>Archion 220096: marriage p. 306, image 1148 (§11.17.1); baptism entries identifying him as Andreas's father (§11.15.1); Deisel KB 218821 burial of father (§9.2)</t>
        </is>
      </c>
      <c r="O12" s="7" t="inlineStr">
        <is>
          <t>Son of Andreas Kontze I, Küster of Deisel — confirmed by 1795 marriage entry naming father as 'hweiland Andreas Kotzen.' Father of Andreas Kontze (b. 1787). Bridges Deisel-Trendelburg family connection. 1st wife Dorthea Elisabeth's burial NOT FOUND.</t>
        </is>
      </c>
    </row>
    <row r="13">
      <c r="A13" s="7" t="n">
        <v>12</v>
      </c>
      <c r="B13" s="7" t="inlineStr">
        <is>
          <t>Dorthea Elisabeth</t>
        </is>
      </c>
      <c r="C13" s="7" t="inlineStr">
        <is>
          <t>1</t>
        </is>
      </c>
      <c r="D13" s="7" t="inlineStr">
        <is>
          <t>11 Nov 1766</t>
        </is>
      </c>
      <c r="E13" s="7" t="inlineStr">
        <is>
          <t>Trendelburg (probable)</t>
        </is>
      </c>
      <c r="F13" s="7" t="inlineStr">
        <is>
          <t>Before ~1807 (burial not found)</t>
        </is>
      </c>
      <c r="G13" s="7" t="inlineStr">
        <is>
          <t>Unknown</t>
        </is>
      </c>
      <c r="H13" s="7" t="inlineStr">
        <is>
          <t>Deceased Bürgermeister (surname ending -oden)</t>
        </is>
      </c>
      <c r="I13" s="7" t="inlineStr">
        <is>
          <t>Unknown</t>
        </is>
      </c>
      <c r="J13" s="7" t="inlineStr">
        <is>
          <t>Johann Friedrich Kontze</t>
        </is>
      </c>
      <c r="K13" s="7" t="inlineStr">
        <is>
          <t>15 Feb 1795</t>
        </is>
      </c>
      <c r="L13" s="7" t="inlineStr">
        <is>
          <t>Trendelburg</t>
        </is>
      </c>
      <c r="M13" s="7" t="inlineStr"/>
      <c r="N13" s="7" t="inlineStr">
        <is>
          <t>Archion 220096: marriage p. 306, image 1148 (§11.17.1); burial NOT FOUND in systematic search of 1794-1810 and 1819-1831 (§11.23.1, §11.24)</t>
        </is>
      </c>
      <c r="O13" s="7" t="inlineStr">
        <is>
          <t>First wife of Johann Friedrich Kontze. Daughter of a deceased Bürgermeister. Must have died before ~1807 when Wilhelmine née Grossbernd appears as wife. Burial not located — may be in neighboring parish.</t>
        </is>
      </c>
    </row>
    <row r="14">
      <c r="A14" s="7" t="n">
        <v>13</v>
      </c>
      <c r="B14" s="7" t="inlineStr">
        <is>
          <t>Wilhelmine née Grossbernd</t>
        </is>
      </c>
      <c r="C14" s="7" t="inlineStr">
        <is>
          <t>1</t>
        </is>
      </c>
      <c r="D14" s="7" t="inlineStr">
        <is>
          <t>Unknown</t>
        </is>
      </c>
      <c r="E14" s="7" t="inlineStr">
        <is>
          <t>Vöhlein (hamlet near Trendelburg)</t>
        </is>
      </c>
      <c r="F14" s="7" t="inlineStr">
        <is>
          <t>Unknown</t>
        </is>
      </c>
      <c r="G14" s="7" t="inlineStr">
        <is>
          <t>Unknown</t>
        </is>
      </c>
      <c r="H14" s="7" t="inlineStr">
        <is>
          <t>Joh. Friedrich Grossbernd (Bürger und Ackermann)</t>
        </is>
      </c>
      <c r="I14" s="7" t="inlineStr">
        <is>
          <t>Unknown</t>
        </is>
      </c>
      <c r="J14" s="7" t="inlineStr">
        <is>
          <t>Johann Friedrich Kontze (2nd wife)</t>
        </is>
      </c>
      <c r="K14" s="7" t="inlineStr">
        <is>
          <t>Before 1808</t>
        </is>
      </c>
      <c r="L14" s="7" t="inlineStr">
        <is>
          <t>Trendelburg (probable)</t>
        </is>
      </c>
      <c r="M14" s="7" t="inlineStr"/>
      <c r="N14" s="7" t="inlineStr">
        <is>
          <t>Archion 220096: baptism p. 173, image 1070 — 'Wilhelmine geb. Grossberndin' (§11.15.2); godparent Nov 1809 image 1068 (§11.15.4); also Hofedietz and Grossbernd both from Vöhlein (§11.22.3)</t>
        </is>
      </c>
      <c r="O14" s="7" t="inlineStr">
        <is>
          <t>Second wife of Johann Friedrich Kontze. Mother of Joh. Friedrich Jr. (1808), Anna Maria (1810), Joh. Henrich (1812), Johannes Andreas (1814). Served as godmother for Grossbernd family 1809. Lived in Vöhlein.</t>
        </is>
      </c>
    </row>
    <row r="15">
      <c r="A15" s="7" t="n">
        <v>14</v>
      </c>
      <c r="B15" s="7" t="inlineStr">
        <is>
          <t>Anna Margaretha Kontze</t>
        </is>
      </c>
      <c r="C15" s="7" t="inlineStr">
        <is>
          <t>1</t>
        </is>
      </c>
      <c r="D15" s="7" t="inlineStr">
        <is>
          <t>Unknown</t>
        </is>
      </c>
      <c r="E15" s="7" t="inlineStr">
        <is>
          <t>Trendelburg</t>
        </is>
      </c>
      <c r="F15" s="7" t="inlineStr">
        <is>
          <t>Unknown</t>
        </is>
      </c>
      <c r="G15" s="7" t="inlineStr">
        <is>
          <t>Unknown</t>
        </is>
      </c>
      <c r="H15" s="7" t="inlineStr">
        <is>
          <t>Johann Henrich Kontze I (Rathsverwandter)</t>
        </is>
      </c>
      <c r="I15" s="7" t="inlineStr">
        <is>
          <t>Unknown</t>
        </is>
      </c>
      <c r="J15" s="7" t="inlineStr">
        <is>
          <t>H. David Lotz (widower, Verwalter from Stockhausen)</t>
        </is>
      </c>
      <c r="K15" s="7" t="inlineStr">
        <is>
          <t>17 Feb 1774</t>
        </is>
      </c>
      <c r="L15" s="7" t="inlineStr">
        <is>
          <t>Trendelburg</t>
        </is>
      </c>
      <c r="M15" s="7" t="inlineStr"/>
      <c r="N15" s="7" t="inlineStr">
        <is>
          <t>Archion 220096: marriage p. 288, image 1139 (§11.13.2)</t>
        </is>
      </c>
      <c r="O15" s="7" t="inlineStr">
        <is>
          <t>Daughter of the ELDER Johann Henrich Kontze I (Rathsverwandter, d. before 1774). Married into the Lotz family of Stockhausen.</t>
        </is>
      </c>
    </row>
    <row r="16">
      <c r="A16" s="7" t="n">
        <v>15</v>
      </c>
      <c r="B16" s="7" t="inlineStr">
        <is>
          <t>Anna Margaretha née Contzin (wife of Albrecht)</t>
        </is>
      </c>
      <c r="C16" s="7" t="inlineStr">
        <is>
          <t>1</t>
        </is>
      </c>
      <c r="D16" s="7" t="inlineStr">
        <is>
          <t>~1749 (age 51y 3mo at death)</t>
        </is>
      </c>
      <c r="E16" s="7" t="inlineStr">
        <is>
          <t>Trendelburg (probable)</t>
        </is>
      </c>
      <c r="F16" s="7" t="inlineStr">
        <is>
          <t>4 Nov 1800</t>
        </is>
      </c>
      <c r="G16" s="7" t="inlineStr">
        <is>
          <t>Trendelburg</t>
        </is>
      </c>
      <c r="H16" s="7" t="inlineStr">
        <is>
          <t>Unknown (Contze branch)</t>
        </is>
      </c>
      <c r="I16" s="7" t="inlineStr">
        <is>
          <t>Unknown</t>
        </is>
      </c>
      <c r="J16" s="7" t="inlineStr">
        <is>
          <t>Heinrich Albrecht</t>
        </is>
      </c>
      <c r="K16" s="7" t="inlineStr">
        <is>
          <t>Unknown</t>
        </is>
      </c>
      <c r="L16" s="7" t="inlineStr"/>
      <c r="M16" s="7" t="inlineStr"/>
      <c r="N16" s="7" t="inlineStr">
        <is>
          <t>Archion 220096 burials: images 1196-1200 (§11.17.2 entry 1)</t>
        </is>
      </c>
      <c r="O16" s="7" t="inlineStr">
        <is>
          <t>Married out of Contze family into Albrecht family. Birth year places her in same generation as Johann Henrich II.</t>
        </is>
      </c>
    </row>
    <row r="17">
      <c r="A17" s="7" t="n">
        <v>16</v>
      </c>
      <c r="B17" s="7" t="inlineStr">
        <is>
          <t>Catharina Elisabeth née Conzen (wife of Bornhage)</t>
        </is>
      </c>
      <c r="C17" s="7" t="inlineStr">
        <is>
          <t>1</t>
        </is>
      </c>
      <c r="D17" s="7" t="inlineStr">
        <is>
          <t>~1734 (age 67 at death)</t>
        </is>
      </c>
      <c r="E17" s="7" t="inlineStr">
        <is>
          <t>Trendelburg (probable)</t>
        </is>
      </c>
      <c r="F17" s="7" t="inlineStr">
        <is>
          <t>1801</t>
        </is>
      </c>
      <c r="G17" s="7" t="inlineStr">
        <is>
          <t>Trendelburg</t>
        </is>
      </c>
      <c r="H17" s="7" t="inlineStr">
        <is>
          <t>Unknown (Contze/Conzen branch)</t>
        </is>
      </c>
      <c r="I17" s="7" t="inlineStr">
        <is>
          <t>Unknown</t>
        </is>
      </c>
      <c r="J17" s="7" t="inlineStr">
        <is>
          <t>Christoph Bornhage (Bürgermeister)</t>
        </is>
      </c>
      <c r="K17" s="7" t="inlineStr">
        <is>
          <t>Unknown</t>
        </is>
      </c>
      <c r="L17" s="7" t="inlineStr"/>
      <c r="M17" s="7" t="inlineStr"/>
      <c r="N17" s="7" t="inlineStr">
        <is>
          <t>Archion 220096 burials: images 1196-1200 (§11.17.2 entry 3)</t>
        </is>
      </c>
      <c r="O17" s="7" t="inlineStr">
        <is>
          <t>Married Bürgermeister Christoph Bornhage. If her father was a Contze, she may be an aunt or older sister of the Gen 1 Kontze men.</t>
        </is>
      </c>
    </row>
    <row r="18">
      <c r="A18" s="8" t="n">
        <v>17</v>
      </c>
      <c r="B18" s="8" t="inlineStr">
        <is>
          <t>Andreas Kontze (b. 1787, Stammtafel)</t>
        </is>
      </c>
      <c r="C18" s="8" t="inlineStr">
        <is>
          <t>2</t>
        </is>
      </c>
      <c r="D18" s="8" t="inlineStr">
        <is>
          <t>9 Mar 1787 (between 11AM-noon)</t>
        </is>
      </c>
      <c r="E18" s="8" t="inlineStr">
        <is>
          <t>Trendelburg</t>
        </is>
      </c>
      <c r="F18" s="8" t="inlineStr">
        <is>
          <t>13 Oct 1830 (4:30 PM)</t>
        </is>
      </c>
      <c r="G18" s="8" t="inlineStr">
        <is>
          <t>Trendelburg</t>
        </is>
      </c>
      <c r="H18" s="8" t="inlineStr">
        <is>
          <t>Johann Friedrich Kontze (corrected from Johann Henrich II per §11.15.1)</t>
        </is>
      </c>
      <c r="I18" s="8" t="inlineStr">
        <is>
          <t>Wilhelmine née Grossbernd (corrected from Hofedietz per §11.15.2)</t>
        </is>
      </c>
      <c r="J18" s="8" t="inlineStr">
        <is>
          <t>1) Wilhelmine née Grossbernd (same family? — see notes); 2) Anna Christina née Heidt</t>
        </is>
      </c>
      <c r="K18" s="8" t="inlineStr">
        <is>
          <t>1) 8 Mar 1807; 2) 5 Jun 1818</t>
        </is>
      </c>
      <c r="L18" s="8" t="inlineStr">
        <is>
          <t>1) Trendelburg; 2) Trendelburg</t>
        </is>
      </c>
      <c r="M18" s="8" t="inlineStr">
        <is>
          <t>Bürger und Ackermann</t>
        </is>
      </c>
      <c r="N18" s="8" t="inlineStr">
        <is>
          <t>Archion 220096: baptism §11.1; confirmation Easter 1801 §11.11.2; marriage p. 322, image 1156 §11.5; burial register 220114 image 682 entry 4; Stammtafel</t>
        </is>
      </c>
      <c r="O18" s="8" t="inlineStr">
        <is>
          <t>ALREADY IN PERSONS SHEET (#7). Confirmed at Easter 1801, 1st boy. Godfather: Andreas Kontze of Stammen (father's half-brother). Named after godfather. Children from 1st marriage: Joh. Friedrich (1808), Anna Maria (1810), Joh. Henrich (1812), Johannes Andreas (1814). No children from 2nd marriage.</t>
        </is>
      </c>
    </row>
    <row r="19">
      <c r="A19" s="8" t="n">
        <v>18</v>
      </c>
      <c r="B19" s="8" t="inlineStr">
        <is>
          <t>Anna Catharina Contze (m. Doenges)</t>
        </is>
      </c>
      <c r="C19" s="8" t="inlineStr">
        <is>
          <t>2</t>
        </is>
      </c>
      <c r="D19" s="8" t="inlineStr">
        <is>
          <t>Unknown</t>
        </is>
      </c>
      <c r="E19" s="8" t="inlineStr">
        <is>
          <t>Trendelburg</t>
        </is>
      </c>
      <c r="F19" s="8" t="inlineStr">
        <is>
          <t>Unknown</t>
        </is>
      </c>
      <c r="G19" s="8" t="inlineStr">
        <is>
          <t>Unknown</t>
        </is>
      </c>
      <c r="H19" s="8" t="inlineStr">
        <is>
          <t>Johannes Kontze (Bürger und Ackermann)</t>
        </is>
      </c>
      <c r="I19" s="8" t="inlineStr">
        <is>
          <t>Anna Margaretha née Thiele (of Deisel)</t>
        </is>
      </c>
      <c r="J19" s="8" t="inlineStr">
        <is>
          <t>Johann George Doenges</t>
        </is>
      </c>
      <c r="K19" s="8" t="inlineStr">
        <is>
          <t>19 Jun 1808</t>
        </is>
      </c>
      <c r="L19" s="8" t="inlineStr">
        <is>
          <t>Trendelburg</t>
        </is>
      </c>
      <c r="M19" s="8" t="inlineStr"/>
      <c r="N19" s="8" t="inlineStr">
        <is>
          <t>Archion 220096: marriage p. 324, image 1157 (§11.6); baptism records of children (§11.15.5)</t>
        </is>
      </c>
      <c r="O19" s="8" t="inlineStr">
        <is>
          <t>Daughter of Johannes Kontze from his first marriage. Married tailor's son Johann George Doenges. Children: Christina Wilhelmina (Jan 1809), Johann Friedrich (Oct 1811, d. 1877), Maria Carolina (Oct 1816).</t>
        </is>
      </c>
    </row>
    <row r="20">
      <c r="A20" s="8" t="n">
        <v>19</v>
      </c>
      <c r="B20" s="8" t="inlineStr">
        <is>
          <t>Anna Christina geb. Contzin (m. Koch)</t>
        </is>
      </c>
      <c r="C20" s="8" t="inlineStr">
        <is>
          <t>2</t>
        </is>
      </c>
      <c r="D20" s="8" t="inlineStr">
        <is>
          <t>Unknown</t>
        </is>
      </c>
      <c r="E20" s="8" t="inlineStr">
        <is>
          <t>Trendelburg</t>
        </is>
      </c>
      <c r="F20" s="8" t="inlineStr">
        <is>
          <t>Unknown</t>
        </is>
      </c>
      <c r="G20" s="8" t="inlineStr">
        <is>
          <t>Unknown</t>
        </is>
      </c>
      <c r="H20" s="8" t="inlineStr">
        <is>
          <t>Unknown (Kontze family)</t>
        </is>
      </c>
      <c r="I20" s="8" t="inlineStr">
        <is>
          <t>Unknown</t>
        </is>
      </c>
      <c r="J20" s="8" t="inlineStr">
        <is>
          <t>Joh. Friedrich Koch (Bürger)</t>
        </is>
      </c>
      <c r="K20" s="8" t="inlineStr">
        <is>
          <t>Unknown</t>
        </is>
      </c>
      <c r="L20" s="8" t="inlineStr">
        <is>
          <t>Trendelburg</t>
        </is>
      </c>
      <c r="M20" s="8" t="inlineStr"/>
      <c r="N20" s="8" t="inlineStr">
        <is>
          <t>Archion 220096: baptism register (§11.15.5) — child Wilhelmina born Nov 1809</t>
        </is>
      </c>
      <c r="O20" s="8" t="inlineStr">
        <is>
          <t>Married out. One documented child: Wilhelmina (Nov 1809). Father may be Johann Henrich II, Johannes, or Johann Friedrich Kontze.</t>
        </is>
      </c>
    </row>
    <row r="21">
      <c r="A21" s="8" t="n">
        <v>20</v>
      </c>
      <c r="B21" s="8" t="inlineStr">
        <is>
          <t>Anna Margaretha geb. Contzin (m. Albrecht)</t>
        </is>
      </c>
      <c r="C21" s="8" t="inlineStr">
        <is>
          <t>2</t>
        </is>
      </c>
      <c r="D21" s="8" t="inlineStr">
        <is>
          <t>Unknown</t>
        </is>
      </c>
      <c r="E21" s="8" t="inlineStr">
        <is>
          <t>Trendelburg</t>
        </is>
      </c>
      <c r="F21" s="8" t="inlineStr">
        <is>
          <t>Unknown</t>
        </is>
      </c>
      <c r="G21" s="8" t="inlineStr">
        <is>
          <t>Unknown</t>
        </is>
      </c>
      <c r="H21" s="8" t="inlineStr">
        <is>
          <t>Unknown (Kontze family)</t>
        </is>
      </c>
      <c r="I21" s="8" t="inlineStr">
        <is>
          <t>Unknown</t>
        </is>
      </c>
      <c r="J21" s="8" t="inlineStr">
        <is>
          <t>Johannes Albrecht (Bürger und Schuhmacher)</t>
        </is>
      </c>
      <c r="K21" s="8" t="inlineStr">
        <is>
          <t>Unknown</t>
        </is>
      </c>
      <c r="L21" s="8" t="inlineStr">
        <is>
          <t>Trendelburg</t>
        </is>
      </c>
      <c r="M21" s="8" t="inlineStr"/>
      <c r="N21" s="8" t="inlineStr">
        <is>
          <t>Archion 220096: baptism register (§11.15.5) — child Maria Elisabeth born 1812, d. 1887</t>
        </is>
      </c>
      <c r="O21" s="8" t="inlineStr">
        <is>
          <t>Married shoemaker. One documented child: Maria Elisabeth (1812, d. 1887). Different from Anna Margaretha née Contzin who married Heinrich Albrecht and died 1800.</t>
        </is>
      </c>
    </row>
    <row r="22">
      <c r="A22" s="8" t="n">
        <v>21</v>
      </c>
      <c r="B22" s="8" t="inlineStr">
        <is>
          <t>Catharina Elisabeth née Conzin (m. Heid)</t>
        </is>
      </c>
      <c r="C22" s="8" t="inlineStr">
        <is>
          <t>2</t>
        </is>
      </c>
      <c r="D22" s="8" t="inlineStr">
        <is>
          <t>Unknown</t>
        </is>
      </c>
      <c r="E22" s="8" t="inlineStr">
        <is>
          <t>Trendelburg</t>
        </is>
      </c>
      <c r="F22" s="8" t="inlineStr">
        <is>
          <t>Unknown</t>
        </is>
      </c>
      <c r="G22" s="8" t="inlineStr">
        <is>
          <t>Unknown</t>
        </is>
      </c>
      <c r="H22" s="8" t="inlineStr">
        <is>
          <t>Unknown (Kontze family)</t>
        </is>
      </c>
      <c r="I22" s="8" t="inlineStr">
        <is>
          <t>Unknown</t>
        </is>
      </c>
      <c r="J22" s="8" t="inlineStr">
        <is>
          <t>Hermann Heid</t>
        </is>
      </c>
      <c r="K22" s="8" t="inlineStr">
        <is>
          <t>Unknown</t>
        </is>
      </c>
      <c r="L22" s="8" t="inlineStr">
        <is>
          <t>Trendelburg</t>
        </is>
      </c>
      <c r="M22" s="8" t="inlineStr"/>
      <c r="N22" s="8" t="inlineStr">
        <is>
          <t>Archion 220096: baptism image 1089 year 1817 (§11.22.2) — twins born; Andreas Conze godfather</t>
        </is>
      </c>
      <c r="O22" s="8" t="inlineStr">
        <is>
          <t>Likely SISTER of Andreas Kontze (b. 1787) — he served as godfather for her twins. Twin Friedrich Wilhelm died 1817. Another twin survived.</t>
        </is>
      </c>
    </row>
    <row r="23">
      <c r="A23" s="8" t="n">
        <v>22</v>
      </c>
      <c r="B23" s="8" t="inlineStr">
        <is>
          <t>Anna Catharina Contzin (unmarried)</t>
        </is>
      </c>
      <c r="C23" s="8" t="inlineStr">
        <is>
          <t>2</t>
        </is>
      </c>
      <c r="D23" s="8" t="inlineStr">
        <is>
          <t>Unknown</t>
        </is>
      </c>
      <c r="E23" s="8" t="inlineStr">
        <is>
          <t>Trendelburg</t>
        </is>
      </c>
      <c r="F23" s="8" t="inlineStr">
        <is>
          <t>Unknown</t>
        </is>
      </c>
      <c r="G23" s="8" t="inlineStr">
        <is>
          <t>Unknown</t>
        </is>
      </c>
      <c r="H23" s="8" t="inlineStr">
        <is>
          <t>Unknown (Kontze family)</t>
        </is>
      </c>
      <c r="I23" s="8" t="inlineStr">
        <is>
          <t>Unknown</t>
        </is>
      </c>
      <c r="J23" s="8" t="inlineStr">
        <is>
          <t>Unmarried</t>
        </is>
      </c>
      <c r="K23" s="8" t="inlineStr"/>
      <c r="L23" s="8" t="inlineStr"/>
      <c r="M23" s="8" t="inlineStr"/>
      <c r="N23" s="8" t="inlineStr">
        <is>
          <t>Archion 220096: baptism p. 169, image 1068 (§11.15.5)</t>
        </is>
      </c>
      <c r="O23" s="8" t="inlineStr">
        <is>
          <t>Had ILLEGITIMATE daughter Maria Carolina, born 23 Jan 1810. May be same person as Anna Catharina who married Doenges (if Doenges marriage was 1807-1808) or a different, younger woman.</t>
        </is>
      </c>
    </row>
    <row r="24">
      <c r="A24" s="8" t="n">
        <v>23</v>
      </c>
      <c r="B24" s="8" t="inlineStr">
        <is>
          <t>Joh. Christoph Contze (Grenadier)</t>
        </is>
      </c>
      <c r="C24" s="8" t="inlineStr">
        <is>
          <t>2?</t>
        </is>
      </c>
      <c r="D24" s="8" t="inlineStr">
        <is>
          <t>Unknown</t>
        </is>
      </c>
      <c r="E24" s="8" t="inlineStr">
        <is>
          <t>Trendelburg</t>
        </is>
      </c>
      <c r="F24" s="8" t="inlineStr">
        <is>
          <t>Unknown</t>
        </is>
      </c>
      <c r="G24" s="8" t="inlineStr">
        <is>
          <t>Unknown</t>
        </is>
      </c>
      <c r="H24" s="8" t="inlineStr">
        <is>
          <t>Unknown</t>
        </is>
      </c>
      <c r="I24" s="8" t="inlineStr">
        <is>
          <t>Unknown</t>
        </is>
      </c>
      <c r="J24" s="8" t="inlineStr">
        <is>
          <t>Unknown</t>
        </is>
      </c>
      <c r="K24" s="8" t="inlineStr"/>
      <c r="L24" s="8" t="inlineStr"/>
      <c r="M24" s="8" t="inlineStr">
        <is>
          <t>Grenadier (military)</t>
        </is>
      </c>
      <c r="N24" s="8" t="inlineStr">
        <is>
          <t>Archion 220096 burials: child burial image 1205 (§11.23.1) — son Johannes d. Jan 4, 1808 age ~3.5yr</t>
        </is>
      </c>
      <c r="O24" s="8" t="inlineStr">
        <is>
          <t>Military title 'Grenadier' indicates Hessian army service. Son Johannes died Jan 4, 1808, age ~3.5 years (born ~1804). Possibly same family as Deisel J.C. Contze (Grenadier, house Nr. 24) or a different person.</t>
        </is>
      </c>
    </row>
    <row r="25">
      <c r="A25" s="8" t="n">
        <v>24</v>
      </c>
      <c r="B25" s="8" t="inlineStr">
        <is>
          <t>Joh. George Contze</t>
        </is>
      </c>
      <c r="C25" s="8" t="inlineStr">
        <is>
          <t>2?</t>
        </is>
      </c>
      <c r="D25" s="8" t="inlineStr">
        <is>
          <t>Unknown</t>
        </is>
      </c>
      <c r="E25" s="8" t="inlineStr">
        <is>
          <t>Trendelburg</t>
        </is>
      </c>
      <c r="F25" s="8" t="inlineStr">
        <is>
          <t>Unknown</t>
        </is>
      </c>
      <c r="G25" s="8" t="inlineStr">
        <is>
          <t>Unknown</t>
        </is>
      </c>
      <c r="H25" s="8" t="inlineStr">
        <is>
          <t>Unknown</t>
        </is>
      </c>
      <c r="I25" s="8" t="inlineStr">
        <is>
          <t>Unknown</t>
        </is>
      </c>
      <c r="J25" s="8" t="inlineStr">
        <is>
          <t>Unknown</t>
        </is>
      </c>
      <c r="K25" s="8" t="inlineStr"/>
      <c r="L25" s="8" t="inlineStr"/>
      <c r="M25" s="8" t="inlineStr"/>
      <c r="N25" s="8" t="inlineStr">
        <is>
          <t>Archion 220096 burials: child burial image 1207 (§11.23.1) — son George d. April 7, 1810 age ~4 months</t>
        </is>
      </c>
      <c r="O25" s="8" t="inlineStr">
        <is>
          <t>Infant son George died April 1810. Distinct from Johann Henrich, Johannes Jungconze, and Johann Friedrich.</t>
        </is>
      </c>
    </row>
    <row r="26">
      <c r="A26" s="8" t="n">
        <v>25</v>
      </c>
      <c r="B26" s="8" t="inlineStr">
        <is>
          <t>Johannes Kontze 'uf der Mühlen'</t>
        </is>
      </c>
      <c r="C26" s="8" t="inlineStr">
        <is>
          <t>2?</t>
        </is>
      </c>
      <c r="D26" s="8" t="inlineStr">
        <is>
          <t>Unknown</t>
        </is>
      </c>
      <c r="E26" s="8" t="inlineStr">
        <is>
          <t>Trendelburg</t>
        </is>
      </c>
      <c r="F26" s="8" t="inlineStr">
        <is>
          <t>Unknown</t>
        </is>
      </c>
      <c r="G26" s="8" t="inlineStr">
        <is>
          <t>Unknown</t>
        </is>
      </c>
      <c r="H26" s="8" t="inlineStr">
        <is>
          <t>Unknown</t>
        </is>
      </c>
      <c r="I26" s="8" t="inlineStr">
        <is>
          <t>Unknown</t>
        </is>
      </c>
      <c r="J26" s="8" t="inlineStr">
        <is>
          <t>Unknown</t>
        </is>
      </c>
      <c r="K26" s="8" t="inlineStr"/>
      <c r="L26" s="8" t="inlineStr"/>
      <c r="M26" s="8" t="inlineStr">
        <is>
          <t>Miller (at the mill)</t>
        </is>
      </c>
      <c r="N26" s="8" t="inlineStr">
        <is>
          <t>Archion 220096 burials: child burial image 1201 (§11.23.1) — son Johann d. Jan 12, 1804 age ~12mo</t>
        </is>
      </c>
      <c r="O26" s="8" t="inlineStr">
        <is>
          <t>Hausname 'uf der Mühlen' (at the mill) distinguishes from Johannes 'Jungconze'. Infant son Johann died Jan 1804. Another branch of the Contze family operating a mill.</t>
        </is>
      </c>
    </row>
    <row r="27">
      <c r="A27" s="9" t="n">
        <v>26</v>
      </c>
      <c r="B27" s="9" t="inlineStr">
        <is>
          <t>Joh. Friedrich Conze</t>
        </is>
      </c>
      <c r="C27" s="9" t="inlineStr">
        <is>
          <t>3</t>
        </is>
      </c>
      <c r="D27" s="9" t="inlineStr">
        <is>
          <t>~1808</t>
        </is>
      </c>
      <c r="E27" s="9" t="inlineStr">
        <is>
          <t>Trendelburg/Vöhlein</t>
        </is>
      </c>
      <c r="F27" s="9" t="inlineStr">
        <is>
          <t>Unknown</t>
        </is>
      </c>
      <c r="G27" s="9" t="inlineStr">
        <is>
          <t>Unknown</t>
        </is>
      </c>
      <c r="H27" s="9" t="inlineStr">
        <is>
          <t>Andreas Kontze (b. 1787)</t>
        </is>
      </c>
      <c r="I27" s="9" t="inlineStr">
        <is>
          <t>Wilhelmine née Grossbernd</t>
        </is>
      </c>
      <c r="J27" s="9" t="inlineStr"/>
      <c r="K27" s="9" t="inlineStr"/>
      <c r="L27" s="9" t="inlineStr"/>
      <c r="M27" s="9" t="inlineStr"/>
      <c r="N27" s="9" t="inlineStr">
        <is>
          <t>Archion 220096: baptism register §11.16 (p. 173, image 1070 for 1810 reading §11.15.3)</t>
        </is>
      </c>
      <c r="O27" s="9" t="inlineStr">
        <is>
          <t>First documented child of Andreas &amp; Wilhelmine. Named after maternal grandfather Joh. Friedrich Grossbernd. Would be age 27 in Jan 1835 — CANDIDATE for Charles Gannsen's father.</t>
        </is>
      </c>
    </row>
    <row r="28">
      <c r="A28" s="9" t="n">
        <v>27</v>
      </c>
      <c r="B28" s="9" t="inlineStr">
        <is>
          <t>Anna Maria Conze</t>
        </is>
      </c>
      <c r="C28" s="9" t="inlineStr">
        <is>
          <t>3</t>
        </is>
      </c>
      <c r="D28" s="9" t="inlineStr">
        <is>
          <t>~1810</t>
        </is>
      </c>
      <c r="E28" s="9" t="inlineStr">
        <is>
          <t>Trendelburg/Vöhlein</t>
        </is>
      </c>
      <c r="F28" s="9" t="inlineStr">
        <is>
          <t>Unknown</t>
        </is>
      </c>
      <c r="G28" s="9" t="inlineStr">
        <is>
          <t>Unknown</t>
        </is>
      </c>
      <c r="H28" s="9" t="inlineStr">
        <is>
          <t>Andreas Kontze (b. 1787)</t>
        </is>
      </c>
      <c r="I28" s="9" t="inlineStr">
        <is>
          <t>Wilhelmine née Grossbernd</t>
        </is>
      </c>
      <c r="J28" s="9" t="inlineStr"/>
      <c r="K28" s="9" t="inlineStr"/>
      <c r="L28" s="9" t="inlineStr"/>
      <c r="M28" s="9" t="inlineStr"/>
      <c r="N28" s="9" t="inlineStr">
        <is>
          <t>Archion 220096: baptism register §11.16</t>
        </is>
      </c>
      <c r="O28" s="9" t="inlineStr">
        <is>
          <t>Second documented child of Andreas &amp; Wilhelmine.</t>
        </is>
      </c>
    </row>
    <row r="29">
      <c r="A29" s="9" t="n">
        <v>28</v>
      </c>
      <c r="B29" s="9" t="inlineStr">
        <is>
          <t>Joh. Henrich Conze</t>
        </is>
      </c>
      <c r="C29" s="9" t="inlineStr">
        <is>
          <t>3</t>
        </is>
      </c>
      <c r="D29" s="9" t="inlineStr">
        <is>
          <t>~1812</t>
        </is>
      </c>
      <c r="E29" s="9" t="inlineStr">
        <is>
          <t>Trendelburg/Vöhlein</t>
        </is>
      </c>
      <c r="F29" s="9" t="inlineStr">
        <is>
          <t>Unknown</t>
        </is>
      </c>
      <c r="G29" s="9" t="inlineStr">
        <is>
          <t>Unknown</t>
        </is>
      </c>
      <c r="H29" s="9" t="inlineStr">
        <is>
          <t>Andreas Kontze (b. 1787)</t>
        </is>
      </c>
      <c r="I29" s="9" t="inlineStr">
        <is>
          <t>Wilhelmine née Grossbernd</t>
        </is>
      </c>
      <c r="J29" s="9" t="inlineStr"/>
      <c r="K29" s="9" t="inlineStr"/>
      <c r="L29" s="9" t="inlineStr"/>
      <c r="M29" s="9" t="inlineStr"/>
      <c r="N29" s="9" t="inlineStr">
        <is>
          <t>Archion 220096: baptism register §11.16</t>
        </is>
      </c>
      <c r="O29" s="9" t="inlineStr">
        <is>
          <t>Third documented child. Named after Johann Henrich Kontze II (great-uncle or grandfather).</t>
        </is>
      </c>
    </row>
    <row r="30">
      <c r="A30" s="9" t="n">
        <v>29</v>
      </c>
      <c r="B30" s="9" t="inlineStr">
        <is>
          <t>Johannes Andreas Conze</t>
        </is>
      </c>
      <c r="C30" s="9" t="inlineStr">
        <is>
          <t>3</t>
        </is>
      </c>
      <c r="D30" s="9" t="inlineStr">
        <is>
          <t>28 Nov 1814</t>
        </is>
      </c>
      <c r="E30" s="9" t="inlineStr">
        <is>
          <t>Vöhlein</t>
        </is>
      </c>
      <c r="F30" s="9" t="inlineStr">
        <is>
          <t>~Aug 1894 (marginal note)</t>
        </is>
      </c>
      <c r="G30" s="9" t="inlineStr">
        <is>
          <t>Unknown</t>
        </is>
      </c>
      <c r="H30" s="9" t="inlineStr">
        <is>
          <t>Andreas Kontze (b. 1787, Ackermann)</t>
        </is>
      </c>
      <c r="I30" s="9" t="inlineStr">
        <is>
          <t>Wilhelmine née Grossbernd</t>
        </is>
      </c>
      <c r="J30" s="9" t="inlineStr"/>
      <c r="K30" s="9" t="inlineStr"/>
      <c r="L30" s="9" t="inlineStr"/>
      <c r="M30" s="9" t="inlineStr"/>
      <c r="N30" s="9" t="inlineStr">
        <is>
          <t>Archion 220096: baptism image 1082, bapt. 4 Dec 1814 (§11.22.1)</t>
        </is>
      </c>
      <c r="O30" s="9" t="inlineStr">
        <is>
          <t>Fourth child. Godparents: Johs Conze, Johs Conze (twice). Lived to ~age 80. Death marginal notation: †~1894. Contemporary of Charles Gannsen.</t>
        </is>
      </c>
    </row>
    <row r="31">
      <c r="A31" s="9" t="n">
        <v>30</v>
      </c>
      <c r="B31" s="9" t="inlineStr">
        <is>
          <t>Christina Charlotta (Jungconze child)</t>
        </is>
      </c>
      <c r="C31" s="9" t="inlineStr">
        <is>
          <t>3</t>
        </is>
      </c>
      <c r="D31" s="9" t="inlineStr">
        <is>
          <t>Unknown (~1800)</t>
        </is>
      </c>
      <c r="E31" s="9" t="inlineStr">
        <is>
          <t>Trendelburg</t>
        </is>
      </c>
      <c r="F31" s="9" t="inlineStr">
        <is>
          <t>9 May 1801</t>
        </is>
      </c>
      <c r="G31" s="9" t="inlineStr">
        <is>
          <t>Trendelburg</t>
        </is>
      </c>
      <c r="H31" s="9" t="inlineStr">
        <is>
          <t>Johannes 'Jungconze' Kontze</t>
        </is>
      </c>
      <c r="I31" s="9" t="inlineStr">
        <is>
          <t>Unknown</t>
        </is>
      </c>
      <c r="J31" s="9" t="inlineStr"/>
      <c r="K31" s="9" t="inlineStr"/>
      <c r="L31" s="9" t="inlineStr"/>
      <c r="M31" s="9" t="inlineStr"/>
      <c r="N31" s="9" t="inlineStr">
        <is>
          <t>Archion 220096 burials: images 1196-1200 (§11.17.2 entry 4)</t>
        </is>
      </c>
      <c r="O31" s="9" t="inlineStr">
        <is>
          <t>Infant/child of Johannes Jungconze. Died May 1801.</t>
        </is>
      </c>
    </row>
  </sheetData>
  <autoFilter ref="A1:O3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0"/>
  <sheetViews>
    <sheetView zoomScale="90" workbookViewId="0">
      <pane ySplit="1" topLeftCell="A2" activePane="bottomLeft" state="frozen"/>
      <selection pane="bottomLeft" activeCell="A1" sqref="A1"/>
    </sheetView>
  </sheetViews>
  <sheetFormatPr baseColWidth="8" defaultRowHeight="15"/>
  <cols>
    <col width="4" customWidth="1" min="1" max="1"/>
    <col width="40" customWidth="1" min="2" max="2"/>
    <col width="5" customWidth="1" min="3" max="3"/>
    <col width="20" customWidth="1" min="4" max="4"/>
    <col width="18" customWidth="1" min="5" max="5"/>
    <col width="22" customWidth="1" min="6" max="6"/>
    <col width="18" customWidth="1" min="7" max="7"/>
    <col width="35" customWidth="1" min="8" max="8"/>
    <col width="30" customWidth="1" min="9" max="9"/>
    <col width="45" customWidth="1" min="10" max="10"/>
    <col width="20" customWidth="1" min="11" max="11"/>
    <col width="22" customWidth="1" min="12" max="12"/>
    <col width="28" customWidth="1" min="13" max="13"/>
    <col width="25" customWidth="1" min="14" max="14"/>
    <col width="65" customWidth="1" min="15" max="15"/>
    <col width="65" customWidth="1" min="16" max="16"/>
  </cols>
  <sheetData>
    <row r="1">
      <c r="A1" s="1" t="inlineStr">
        <is>
          <t>#</t>
        </is>
      </c>
      <c r="B1" s="1" t="inlineStr">
        <is>
          <t>Full Name</t>
        </is>
      </c>
      <c r="C1" s="1" t="inlineStr">
        <is>
          <t>Gen.</t>
        </is>
      </c>
      <c r="D1" s="1" t="inlineStr">
        <is>
          <t>Birth Date</t>
        </is>
      </c>
      <c r="E1" s="1" t="inlineStr">
        <is>
          <t>Birth Place</t>
        </is>
      </c>
      <c r="F1" s="1" t="inlineStr">
        <is>
          <t>Death Date</t>
        </is>
      </c>
      <c r="G1" s="1" t="inlineStr">
        <is>
          <t>Death Place</t>
        </is>
      </c>
      <c r="H1" s="1" t="inlineStr">
        <is>
          <t>Father</t>
        </is>
      </c>
      <c r="I1" s="1" t="inlineStr">
        <is>
          <t>Mother</t>
        </is>
      </c>
      <c r="J1" s="1" t="inlineStr">
        <is>
          <t>Spouse(s)</t>
        </is>
      </c>
      <c r="K1" s="1" t="inlineStr">
        <is>
          <t>Marriage Date(s)</t>
        </is>
      </c>
      <c r="L1" s="1" t="inlineStr">
        <is>
          <t>Marriage Place(s)</t>
        </is>
      </c>
      <c r="M1" s="1" t="inlineStr">
        <is>
          <t>Occupation / Status</t>
        </is>
      </c>
      <c r="N1" s="1" t="inlineStr">
        <is>
          <t>Address</t>
        </is>
      </c>
      <c r="O1" s="1" t="inlineStr">
        <is>
          <t>Source(s)</t>
        </is>
      </c>
      <c r="P1" s="1" t="inlineStr">
        <is>
          <t>Notes</t>
        </is>
      </c>
    </row>
    <row r="2">
      <c r="A2" s="6" t="n">
        <v>1</v>
      </c>
      <c r="B2" s="6" t="inlineStr">
        <is>
          <t>Andreas Kontze (I) — Küster of Deisel</t>
        </is>
      </c>
      <c r="C2" s="6" t="inlineStr">
        <is>
          <t>0</t>
        </is>
      </c>
      <c r="D2" s="6" t="inlineStr">
        <is>
          <t>~Sep 1718 (age 72y 6mo at death)</t>
        </is>
      </c>
      <c r="E2" s="6" t="inlineStr">
        <is>
          <t>Unknown</t>
        </is>
      </c>
      <c r="F2" s="6" t="inlineStr">
        <is>
          <t>2 Mar 1791 (9 PM)</t>
        </is>
      </c>
      <c r="G2" s="6" t="inlineStr">
        <is>
          <t>Deisel</t>
        </is>
      </c>
      <c r="H2" s="6" t="inlineStr">
        <is>
          <t>Unknown</t>
        </is>
      </c>
      <c r="I2" s="6" t="inlineStr">
        <is>
          <t>Unknown (wife unknown — finding her is HIGH PRIORITY)</t>
        </is>
      </c>
      <c r="J2" s="6" t="inlineStr"/>
      <c r="K2" s="6" t="inlineStr"/>
      <c r="L2" s="6" t="inlineStr"/>
      <c r="M2" s="6" t="inlineStr">
        <is>
          <t>Küster (sexton/church custodian) — literate position</t>
        </is>
      </c>
      <c r="N2" s="6" t="inlineStr">
        <is>
          <t>House Nr. 1, Deisel</t>
        </is>
      </c>
      <c r="O2" s="6" t="inlineStr">
        <is>
          <t>Deisel KB 218821: burial image 1558, right page, entry 223 (§9.2 of Deisel search results)</t>
        </is>
      </c>
      <c r="P2" s="6" t="inlineStr">
        <is>
          <t>PATRIARCH of the Deisel Kontze family. Earliest confirmed ancestor. House Nr. 1 suggests long-established family. Son Johann Friedrich moved to Trendelburg. Also father of Konrad Konze (confirmed), Johann Christoph (probable), Johann Henrich (probable).</t>
        </is>
      </c>
    </row>
    <row r="3">
      <c r="A3" s="6" t="n">
        <v>2</v>
      </c>
      <c r="B3" s="6" t="inlineStr">
        <is>
          <t>Kontze, Junig</t>
        </is>
      </c>
      <c r="C3" s="6" t="inlineStr">
        <is>
          <t>-1</t>
        </is>
      </c>
      <c r="D3" s="6" t="inlineStr">
        <is>
          <t>Unknown</t>
        </is>
      </c>
      <c r="E3" s="6" t="inlineStr">
        <is>
          <t>Deisel</t>
        </is>
      </c>
      <c r="F3" s="6" t="inlineStr">
        <is>
          <t>28 Dec 1655</t>
        </is>
      </c>
      <c r="G3" s="6" t="inlineStr">
        <is>
          <t>Deisel</t>
        </is>
      </c>
      <c r="H3" s="6" t="inlineStr">
        <is>
          <t>Unknown</t>
        </is>
      </c>
      <c r="I3" s="6" t="inlineStr">
        <is>
          <t>Unknown</t>
        </is>
      </c>
      <c r="J3" s="6" t="inlineStr"/>
      <c r="K3" s="6" t="inlineStr"/>
      <c r="L3" s="6" t="inlineStr"/>
      <c r="M3" s="6" t="inlineStr">
        <is>
          <t>Unknown</t>
        </is>
      </c>
      <c r="N3" s="6" t="inlineStr">
        <is>
          <t>Unknown</t>
        </is>
      </c>
      <c r="O3" s="6" t="inlineStr">
        <is>
          <t>Registerband 218833 burial index (image 1366/1368, K section)</t>
        </is>
      </c>
      <c r="P3" s="6" t="inlineStr">
        <is>
          <t>EARLIEST known Kontze in Deisel records. Confirms family presence from mid-17th century. No further details available.</t>
        </is>
      </c>
    </row>
    <row r="4">
      <c r="A4" s="7" t="n">
        <v>3</v>
      </c>
      <c r="B4" s="7" t="inlineStr">
        <is>
          <t>Johann Friedrich Kontze</t>
        </is>
      </c>
      <c r="C4" s="7" t="inlineStr">
        <is>
          <t>1</t>
        </is>
      </c>
      <c r="D4" s="7" t="inlineStr">
        <is>
          <t>14 Dec 1763</t>
        </is>
      </c>
      <c r="E4" s="7" t="inlineStr">
        <is>
          <t>Deisel (probable)</t>
        </is>
      </c>
      <c r="F4" s="7" t="inlineStr">
        <is>
          <t>Unknown (after 1814)</t>
        </is>
      </c>
      <c r="G4" s="7" t="inlineStr">
        <is>
          <t>Unknown</t>
        </is>
      </c>
      <c r="H4" s="7" t="inlineStr">
        <is>
          <t>Andreas Kontze I (Küster of Deisel)</t>
        </is>
      </c>
      <c r="I4" s="7" t="inlineStr">
        <is>
          <t>Unknown</t>
        </is>
      </c>
      <c r="J4" s="7" t="inlineStr">
        <is>
          <t>1) Dorthea Elisabeth; 2) Wilhelmine née Grossbernd</t>
        </is>
      </c>
      <c r="K4" s="7" t="inlineStr">
        <is>
          <t>1) 15 Feb 1795; 2) Before 1808</t>
        </is>
      </c>
      <c r="L4" s="7" t="inlineStr">
        <is>
          <t>1) Trendelburg; 2) Trendelburg (probable)</t>
        </is>
      </c>
      <c r="M4" s="7" t="inlineStr">
        <is>
          <t>Ackermann (farmer)</t>
        </is>
      </c>
      <c r="N4" s="7" t="inlineStr">
        <is>
          <t>Trendelburg (moved from Deisel)</t>
        </is>
      </c>
      <c r="O4" s="7" t="inlineStr">
        <is>
          <t>Archion 220096: marriage p. 306 (§11.17.1); baptisms §11.15</t>
        </is>
      </c>
      <c r="P4" s="7" t="inlineStr">
        <is>
          <t>SEE TRENDELBURG SHEET #11 for full details. Son of Deisel Küster, moved to Trendelburg. Father of Andreas Kontze (b. 1787).</t>
        </is>
      </c>
    </row>
    <row r="5">
      <c r="A5" s="7" t="n">
        <v>4</v>
      </c>
      <c r="B5" s="7" t="inlineStr">
        <is>
          <t>Johann Christoph Contze (Grenadier)</t>
        </is>
      </c>
      <c r="C5" s="7" t="inlineStr">
        <is>
          <t>1</t>
        </is>
      </c>
      <c r="D5" s="7" t="inlineStr">
        <is>
          <t>~1747</t>
        </is>
      </c>
      <c r="E5" s="7" t="inlineStr">
        <is>
          <t>Deisel</t>
        </is>
      </c>
      <c r="F5" s="7" t="inlineStr">
        <is>
          <t>Unknown (after 1808)</t>
        </is>
      </c>
      <c r="G5" s="7" t="inlineStr">
        <is>
          <t>Unknown</t>
        </is>
      </c>
      <c r="H5" s="7" t="inlineStr">
        <is>
          <t>Andreas Kontze I (probable)</t>
        </is>
      </c>
      <c r="I5" s="7" t="inlineStr">
        <is>
          <t>Unknown</t>
        </is>
      </c>
      <c r="J5" s="7" t="inlineStr">
        <is>
          <t>Unknown (wife possibly née Marquard)</t>
        </is>
      </c>
      <c r="K5" s="7" t="inlineStr"/>
      <c r="L5" s="7" t="inlineStr"/>
      <c r="M5" s="7" t="inlineStr">
        <is>
          <t>Grenadier (Hessian military)</t>
        </is>
      </c>
      <c r="N5" s="7" t="inlineStr">
        <is>
          <t>House Nr. 24, Deisel</t>
        </is>
      </c>
      <c r="O5" s="7" t="inlineStr">
        <is>
          <t>Deisel KB 218821: child burials images 1555 (1789) and 1561 (1795); Trendelburg 220096 child burial image 1205 (1808)</t>
        </is>
      </c>
      <c r="P5" s="7" t="inlineStr">
        <is>
          <t>Born same year as Johann Henrich — possibly twins. Military service. Child deaths: Johann George (1789, Deisel), Johannes Friedrich (~1795, Deisel, age ~5, mother possibly née Marquard), Johannes (1808, Trendelburg, age ~3.5). May have moved between Deisel and Trendelburg.</t>
        </is>
      </c>
    </row>
    <row r="6">
      <c r="A6" s="7" t="n">
        <v>5</v>
      </c>
      <c r="B6" s="7" t="inlineStr">
        <is>
          <t>Johann Henrich Kontze (Deisel)</t>
        </is>
      </c>
      <c r="C6" s="7" t="inlineStr">
        <is>
          <t>1</t>
        </is>
      </c>
      <c r="D6" s="7" t="inlineStr">
        <is>
          <t>~23 Mar 1747 (age 45y 25d at death)</t>
        </is>
      </c>
      <c r="E6" s="7" t="inlineStr">
        <is>
          <t>Deisel</t>
        </is>
      </c>
      <c r="F6" s="7" t="inlineStr">
        <is>
          <t>17 Apr 1792 (6 PM, buried 19 Apr)</t>
        </is>
      </c>
      <c r="G6" s="7" t="inlineStr">
        <is>
          <t>Deisel</t>
        </is>
      </c>
      <c r="H6" s="7" t="inlineStr">
        <is>
          <t>Andreas Kontze I (probable)</t>
        </is>
      </c>
      <c r="I6" s="7" t="inlineStr">
        <is>
          <t>Unknown</t>
        </is>
      </c>
      <c r="J6" s="7" t="inlineStr">
        <is>
          <t>Unknown</t>
        </is>
      </c>
      <c r="K6" s="7" t="inlineStr"/>
      <c r="L6" s="7" t="inlineStr"/>
      <c r="M6" s="7" t="inlineStr">
        <is>
          <t>Ackermann (farmer)</t>
        </is>
      </c>
      <c r="N6" s="7" t="inlineStr">
        <is>
          <t>Deisel</t>
        </is>
      </c>
      <c r="O6" s="7" t="inlineStr">
        <is>
          <t>Deisel KB 218821: burial image 1559, left page (§9.3 of Deisel search results)</t>
        </is>
      </c>
      <c r="P6" s="7" t="inlineStr">
        <is>
          <t>DISTINCT from Trendelburg Johann Henrich Kontze II (b. ~1740, d. 1804). This is the Deisel farmer who died 1792. Born same year as J.C. Contze — possibly twins or one estimate is slightly off.</t>
        </is>
      </c>
    </row>
    <row r="7">
      <c r="A7" s="7" t="n">
        <v>6</v>
      </c>
      <c r="B7" s="7" t="inlineStr">
        <is>
          <t>Konrad Konze</t>
        </is>
      </c>
      <c r="C7" s="7" t="inlineStr">
        <is>
          <t>1</t>
        </is>
      </c>
      <c r="D7" s="7" t="inlineStr">
        <is>
          <t>16 Oct 1780</t>
        </is>
      </c>
      <c r="E7" s="7" t="inlineStr">
        <is>
          <t>Deisel</t>
        </is>
      </c>
      <c r="F7" s="7" t="inlineStr">
        <is>
          <t>22 Nov 1841</t>
        </is>
      </c>
      <c r="G7" s="7" t="inlineStr">
        <is>
          <t>Deisel</t>
        </is>
      </c>
      <c r="H7" s="7" t="inlineStr">
        <is>
          <t>Andreas Kontze I (confirmed — burial register names father as Andreas)</t>
        </is>
      </c>
      <c r="I7" s="7" t="inlineStr">
        <is>
          <t>Unknown</t>
        </is>
      </c>
      <c r="J7" s="7" t="inlineStr">
        <is>
          <t>1) Maria Elisabeth Brand (DIVORCED); 2) Anna Catharina née Köster (widow of Philipp Köster)</t>
        </is>
      </c>
      <c r="K7" s="7" t="inlineStr">
        <is>
          <t>Unknown</t>
        </is>
      </c>
      <c r="L7" s="7" t="inlineStr"/>
      <c r="M7" s="7" t="inlineStr">
        <is>
          <t>Ackermann (farmer)</t>
        </is>
      </c>
      <c r="N7" s="7" t="inlineStr">
        <is>
          <t>Giesenwaldtal, Deisel</t>
        </is>
      </c>
      <c r="O7" s="7" t="inlineStr">
        <is>
          <t>Deisel burial register 218851: entry 358 (§3 of Deisel search results); Kontze Family Tree doc</t>
        </is>
      </c>
      <c r="P7" s="7" t="inlineStr">
        <is>
          <t>Youngest known son of Andreas I — born when father was ~62. 1st marriage ended in DIVORCE (unusual for era). 2nd wife Anna Catharina née Köster died just 33 days after him (25 Dec 1841).</t>
        </is>
      </c>
    </row>
    <row r="8">
      <c r="A8" s="7" t="n">
        <v>7</v>
      </c>
      <c r="B8" s="7" t="inlineStr">
        <is>
          <t>Anna Catharina née Köster (wife of Konrad)</t>
        </is>
      </c>
      <c r="C8" s="7" t="inlineStr">
        <is>
          <t>1</t>
        </is>
      </c>
      <c r="D8" s="7" t="inlineStr">
        <is>
          <t>~1774 (age ~67 at death)</t>
        </is>
      </c>
      <c r="E8" s="7" t="inlineStr">
        <is>
          <t>Unknown</t>
        </is>
      </c>
      <c r="F8" s="7" t="inlineStr">
        <is>
          <t>25 Dec 1841</t>
        </is>
      </c>
      <c r="G8" s="7" t="inlineStr">
        <is>
          <t>Deisel</t>
        </is>
      </c>
      <c r="H8" s="7" t="inlineStr">
        <is>
          <t>Unknown (Köster)</t>
        </is>
      </c>
      <c r="I8" s="7" t="inlineStr">
        <is>
          <t>Unknown</t>
        </is>
      </c>
      <c r="J8" s="7" t="inlineStr">
        <is>
          <t>1) Philipp Köster (1st husband, deceased); 2) Konrad Konze</t>
        </is>
      </c>
      <c r="K8" s="7" t="inlineStr">
        <is>
          <t>Unknown</t>
        </is>
      </c>
      <c r="L8" s="7" t="inlineStr"/>
      <c r="M8" s="7" t="inlineStr">
        <is>
          <t>Widow / wife</t>
        </is>
      </c>
      <c r="N8" s="7" t="inlineStr">
        <is>
          <t>Giesenwaldtal, Deisel</t>
        </is>
      </c>
      <c r="O8" s="7" t="inlineStr">
        <is>
          <t>Deisel burial register 218851: entry 359</t>
        </is>
      </c>
      <c r="P8" s="7" t="inlineStr">
        <is>
          <t>2nd wife of Konrad Konze. Previously widow of Philipp Köster. Died 33 days after Konrad.</t>
        </is>
      </c>
    </row>
    <row r="9">
      <c r="A9" s="8" t="n">
        <v>8</v>
      </c>
      <c r="B9" s="8" t="inlineStr">
        <is>
          <t>Ludwig Konze (Ackermann, Deisel)</t>
        </is>
      </c>
      <c r="C9" s="8" t="inlineStr">
        <is>
          <t>2</t>
        </is>
      </c>
      <c r="D9" s="8" t="inlineStr">
        <is>
          <t>Unknown</t>
        </is>
      </c>
      <c r="E9" s="8" t="inlineStr">
        <is>
          <t>Deisel</t>
        </is>
      </c>
      <c r="F9" s="8" t="inlineStr">
        <is>
          <t>Unknown</t>
        </is>
      </c>
      <c r="G9" s="8" t="inlineStr">
        <is>
          <t>Deisel</t>
        </is>
      </c>
      <c r="H9" s="8" t="inlineStr">
        <is>
          <t>Unknown</t>
        </is>
      </c>
      <c r="I9" s="8" t="inlineStr">
        <is>
          <t>Unknown</t>
        </is>
      </c>
      <c r="J9" s="8" t="inlineStr">
        <is>
          <t>Amalie née Mainbrodt/Weinbrose</t>
        </is>
      </c>
      <c r="K9" s="8" t="inlineStr">
        <is>
          <t>Unknown</t>
        </is>
      </c>
      <c r="L9" s="8" t="inlineStr"/>
      <c r="M9" s="8" t="inlineStr">
        <is>
          <t>Ackermann (farmer)</t>
        </is>
      </c>
      <c r="N9" s="8" t="inlineStr">
        <is>
          <t>Spiegelstraße Nr. 19, Deisel</t>
        </is>
      </c>
      <c r="O9" s="8" t="inlineStr">
        <is>
          <t>Deisel burial register 218851: entries 311 (daughter Amelia) and 411 (daughter Wilhelmina)</t>
        </is>
      </c>
      <c r="P9" s="8" t="inlineStr">
        <is>
          <t>Two daughters died young: Amelia (b. ~1836, d. ~1840) and Wilhelmina (b. 28 Oct 1840, d. Nov 1843).</t>
        </is>
      </c>
    </row>
    <row r="10">
      <c r="A10" s="8" t="n">
        <v>9</v>
      </c>
      <c r="B10" s="8" t="inlineStr">
        <is>
          <t>Johann Christoph Konze (19th cent.)</t>
        </is>
      </c>
      <c r="C10" s="8" t="inlineStr">
        <is>
          <t>2</t>
        </is>
      </c>
      <c r="D10" s="8" t="inlineStr">
        <is>
          <t>Unknown</t>
        </is>
      </c>
      <c r="E10" s="8" t="inlineStr">
        <is>
          <t>Deisel</t>
        </is>
      </c>
      <c r="F10" s="8" t="inlineStr">
        <is>
          <t>Unknown</t>
        </is>
      </c>
      <c r="G10" s="8" t="inlineStr">
        <is>
          <t>Unknown</t>
        </is>
      </c>
      <c r="H10" s="8" t="inlineStr">
        <is>
          <t>Unknown (possibly grandson of J.C. Contze Grenadier)</t>
        </is>
      </c>
      <c r="I10" s="8" t="inlineStr">
        <is>
          <t>Unknown</t>
        </is>
      </c>
      <c r="J10" s="8" t="inlineStr">
        <is>
          <t>Maria née Temme (d. before 1851)</t>
        </is>
      </c>
      <c r="K10" s="8" t="inlineStr">
        <is>
          <t>Unknown</t>
        </is>
      </c>
      <c r="L10" s="8" t="inlineStr"/>
      <c r="M10" s="8" t="inlineStr">
        <is>
          <t>Unknown</t>
        </is>
      </c>
      <c r="N10" s="8" t="inlineStr">
        <is>
          <t>Neuewag Nr. 136, Deisel</t>
        </is>
      </c>
      <c r="O10" s="8" t="inlineStr">
        <is>
          <t>Deisel burial register 218851: entry 328 (daughter Maria Wilhelmina); Kontze Family Tree doc</t>
        </is>
      </c>
      <c r="P10" s="8" t="inlineStr">
        <is>
          <t>Child death: Maria Wilhelmina (b. ~1834, d. ~1841). Son Ludwig (b. 25 Oct 1836) married Frankfurt 1864 — ELIMINATED as Charles Gannsen.</t>
        </is>
      </c>
    </row>
    <row r="11">
      <c r="A11" s="8" t="n">
        <v>10</v>
      </c>
      <c r="B11" s="8" t="inlineStr">
        <is>
          <t>Ludwig Konze (b. 1808, Deisel)</t>
        </is>
      </c>
      <c r="C11" s="8" t="inlineStr">
        <is>
          <t>2</t>
        </is>
      </c>
      <c r="D11" s="8" t="inlineStr">
        <is>
          <t>4 Nov 1808</t>
        </is>
      </c>
      <c r="E11" s="8" t="inlineStr">
        <is>
          <t>Deisel</t>
        </is>
      </c>
      <c r="F11" s="8" t="inlineStr">
        <is>
          <t>4 Feb 1875</t>
        </is>
      </c>
      <c r="G11" s="8" t="inlineStr">
        <is>
          <t>Deisel</t>
        </is>
      </c>
      <c r="H11" s="8" t="inlineStr">
        <is>
          <t>Johann Henrich Kontze (Deisel, d. 1792) — via grandson or namesake line</t>
        </is>
      </c>
      <c r="I11" s="8" t="inlineStr">
        <is>
          <t>Anna Dorothea née Köster</t>
        </is>
      </c>
      <c r="J11" s="8" t="inlineStr">
        <is>
          <t>Unknown</t>
        </is>
      </c>
      <c r="K11" s="8" t="inlineStr">
        <is>
          <t>Unknown</t>
        </is>
      </c>
      <c r="L11" s="8" t="inlineStr"/>
      <c r="M11" s="8" t="inlineStr">
        <is>
          <t>Unknown</t>
        </is>
      </c>
      <c r="N11" s="8" t="inlineStr">
        <is>
          <t>Deisel</t>
        </is>
      </c>
      <c r="O11" s="8" t="inlineStr">
        <is>
          <t>Deisel burial register 218851: entry 146 (1846 marriage reference); Kontze Family Tree doc</t>
        </is>
      </c>
      <c r="P11" s="8" t="inlineStr">
        <is>
          <t>ELIMINATED as Charles Gannsen — too old and died in Deisel. Marriage documented 1846.</t>
        </is>
      </c>
    </row>
    <row r="12">
      <c r="A12" s="8" t="n">
        <v>11</v>
      </c>
      <c r="B12" s="8" t="inlineStr">
        <is>
          <t>Andreas Konze (Deisel, b. ~1799)</t>
        </is>
      </c>
      <c r="C12" s="8" t="inlineStr">
        <is>
          <t>2</t>
        </is>
      </c>
      <c r="D12" s="8" t="inlineStr">
        <is>
          <t>~1799</t>
        </is>
      </c>
      <c r="E12" s="8" t="inlineStr">
        <is>
          <t>Deisel</t>
        </is>
      </c>
      <c r="F12" s="8" t="inlineStr">
        <is>
          <t>24 Feb 1828 (age 29)</t>
        </is>
      </c>
      <c r="G12" s="8" t="inlineStr">
        <is>
          <t>Deisel</t>
        </is>
      </c>
      <c r="H12" s="8" t="inlineStr">
        <is>
          <t>Unknown</t>
        </is>
      </c>
      <c r="I12" s="8" t="inlineStr">
        <is>
          <t>Unknown</t>
        </is>
      </c>
      <c r="J12" s="8" t="inlineStr">
        <is>
          <t>Unknown</t>
        </is>
      </c>
      <c r="K12" s="8" t="inlineStr"/>
      <c r="L12" s="8" t="inlineStr"/>
      <c r="M12" s="8" t="inlineStr">
        <is>
          <t>Unknown</t>
        </is>
      </c>
      <c r="N12" s="8" t="inlineStr">
        <is>
          <t>Deisel</t>
        </is>
      </c>
      <c r="O12" s="8" t="inlineStr">
        <is>
          <t>Kontze Family Tree doc; Deisel records</t>
        </is>
      </c>
      <c r="P12" s="8" t="inlineStr">
        <is>
          <t>NOT the same as Trendelburg Andreas (b. 1787). Different birth year, village, death date. Died young.</t>
        </is>
      </c>
    </row>
    <row r="13">
      <c r="A13" s="8" t="n">
        <v>12</v>
      </c>
      <c r="B13" s="8" t="inlineStr">
        <is>
          <t>Philipp Konze #2 (b. ~1825)</t>
        </is>
      </c>
      <c r="C13" s="8" t="inlineStr">
        <is>
          <t>2</t>
        </is>
      </c>
      <c r="D13" s="8" t="inlineStr">
        <is>
          <t>~1825</t>
        </is>
      </c>
      <c r="E13" s="8" t="inlineStr">
        <is>
          <t>Deisel</t>
        </is>
      </c>
      <c r="F13" s="8" t="inlineStr">
        <is>
          <t>Unknown</t>
        </is>
      </c>
      <c r="G13" s="8" t="inlineStr">
        <is>
          <t>Unknown</t>
        </is>
      </c>
      <c r="H13" s="8" t="inlineStr">
        <is>
          <t>Unknown (Johann Henrich line via Köster wives)</t>
        </is>
      </c>
      <c r="I13" s="8" t="inlineStr">
        <is>
          <t>Anna Catharina née Köster</t>
        </is>
      </c>
      <c r="J13" s="8" t="inlineStr">
        <is>
          <t>Wilhelmine Moritz</t>
        </is>
      </c>
      <c r="K13" s="8" t="inlineStr">
        <is>
          <t>21 Jun 1850</t>
        </is>
      </c>
      <c r="L13" s="8" t="inlineStr"/>
      <c r="M13" s="8" t="inlineStr">
        <is>
          <t>Unknown</t>
        </is>
      </c>
      <c r="N13" s="8" t="inlineStr">
        <is>
          <t>Deisel</t>
        </is>
      </c>
      <c r="O13" s="8" t="inlineStr">
        <is>
          <t>Deisel burial register 218851: entry 193 (1850 marriage); Kontze Family Tree doc</t>
        </is>
      </c>
      <c r="P13" s="8" t="inlineStr">
        <is>
          <t>Son of a Johann Henrich Kontze descendant. Mother: Anna Catharina née Köster.</t>
        </is>
      </c>
    </row>
    <row r="14">
      <c r="A14" s="8" t="n">
        <v>13</v>
      </c>
      <c r="B14" s="8" t="inlineStr">
        <is>
          <t>Sigmund/Justus Konze</t>
        </is>
      </c>
      <c r="C14" s="8" t="inlineStr">
        <is>
          <t>2</t>
        </is>
      </c>
      <c r="D14" s="8" t="inlineStr">
        <is>
          <t>Unknown</t>
        </is>
      </c>
      <c r="E14" s="8" t="inlineStr">
        <is>
          <t>Deisel</t>
        </is>
      </c>
      <c r="F14" s="8" t="inlineStr">
        <is>
          <t>Before ~1842</t>
        </is>
      </c>
      <c r="G14" s="8" t="inlineStr">
        <is>
          <t>Deisel</t>
        </is>
      </c>
      <c r="H14" s="8" t="inlineStr">
        <is>
          <t>Unknown</t>
        </is>
      </c>
      <c r="I14" s="8" t="inlineStr">
        <is>
          <t>Unknown</t>
        </is>
      </c>
      <c r="J14" s="8" t="inlineStr">
        <is>
          <t>Catharina Elisabeth née Jordan (b. ~1781 Deisel, d. ~1842)</t>
        </is>
      </c>
      <c r="K14" s="8" t="inlineStr">
        <is>
          <t>Unknown</t>
        </is>
      </c>
      <c r="L14" s="8" t="inlineStr"/>
      <c r="M14" s="8" t="inlineStr">
        <is>
          <t>Ackermann (farmer)</t>
        </is>
      </c>
      <c r="N14" s="8" t="inlineStr">
        <is>
          <t>Taufstr. Nr. 66, Deisel</t>
        </is>
      </c>
      <c r="O14" s="8" t="inlineStr">
        <is>
          <t>Deisel burial register 218851: entry 379 (wife's burial)</t>
        </is>
      </c>
      <c r="P14" s="8" t="inlineStr">
        <is>
          <t>Known only from wife's burial record. Wife described as 'Widow of Sigmund or Justus Konze, Ackermann.' Name uncertain.</t>
        </is>
      </c>
    </row>
    <row r="15">
      <c r="A15" s="8" t="n">
        <v>14</v>
      </c>
      <c r="B15" s="8" t="inlineStr">
        <is>
          <t>Catharina Elisabeth née Jordan (wife of Sigmund/Justus)</t>
        </is>
      </c>
      <c r="C15" s="8" t="inlineStr">
        <is>
          <t>2</t>
        </is>
      </c>
      <c r="D15" s="8" t="inlineStr">
        <is>
          <t>~1781</t>
        </is>
      </c>
      <c r="E15" s="8" t="inlineStr">
        <is>
          <t>Deisel</t>
        </is>
      </c>
      <c r="F15" s="8" t="inlineStr">
        <is>
          <t>~1842</t>
        </is>
      </c>
      <c r="G15" s="8" t="inlineStr">
        <is>
          <t>Deisel</t>
        </is>
      </c>
      <c r="H15" s="8" t="inlineStr">
        <is>
          <t>Unknown (Jordan)</t>
        </is>
      </c>
      <c r="I15" s="8" t="inlineStr">
        <is>
          <t>Unknown</t>
        </is>
      </c>
      <c r="J15" s="8" t="inlineStr">
        <is>
          <t>Sigmund/Justus Konze (Ackermann)</t>
        </is>
      </c>
      <c r="K15" s="8" t="inlineStr">
        <is>
          <t>Unknown</t>
        </is>
      </c>
      <c r="L15" s="8" t="inlineStr"/>
      <c r="M15" s="8" t="inlineStr">
        <is>
          <t>Widow</t>
        </is>
      </c>
      <c r="N15" s="8" t="inlineStr">
        <is>
          <t>Taufstr. Nr. 66, Deisel</t>
        </is>
      </c>
      <c r="O15" s="8" t="inlineStr">
        <is>
          <t>Deisel burial register 218851: entry 379</t>
        </is>
      </c>
      <c r="P15" s="8" t="inlineStr">
        <is>
          <t>Born in Deisel. Widow at time of death.</t>
        </is>
      </c>
    </row>
    <row r="16">
      <c r="A16" s="8" t="n">
        <v>15</v>
      </c>
      <c r="B16" s="8" t="inlineStr">
        <is>
          <t>Philipp Konze #1 (1849 marriage)</t>
        </is>
      </c>
      <c r="C16" s="8" t="inlineStr">
        <is>
          <t>2</t>
        </is>
      </c>
      <c r="D16" s="8" t="inlineStr">
        <is>
          <t>Unknown</t>
        </is>
      </c>
      <c r="E16" s="8" t="inlineStr">
        <is>
          <t>Deisel</t>
        </is>
      </c>
      <c r="F16" s="8" t="inlineStr">
        <is>
          <t>Unknown</t>
        </is>
      </c>
      <c r="G16" s="8" t="inlineStr">
        <is>
          <t>Unknown</t>
        </is>
      </c>
      <c r="H16" s="8" t="inlineStr">
        <is>
          <t>Johann Konze (deceased)</t>
        </is>
      </c>
      <c r="I16" s="8" t="inlineStr">
        <is>
          <t>Maria Elisabeth née Schrage</t>
        </is>
      </c>
      <c r="J16" s="8" t="inlineStr">
        <is>
          <t>Florentina Schildknecht</t>
        </is>
      </c>
      <c r="K16" s="8" t="inlineStr">
        <is>
          <t>1849</t>
        </is>
      </c>
      <c r="L16" s="8" t="inlineStr"/>
      <c r="M16" s="8" t="inlineStr">
        <is>
          <t>Unknown</t>
        </is>
      </c>
      <c r="N16" s="8" t="inlineStr">
        <is>
          <t>Deisel</t>
        </is>
      </c>
      <c r="O16" s="8" t="inlineStr">
        <is>
          <t>Deisel burial register 218851 (cross-reference); Kontze Family Tree doc</t>
        </is>
      </c>
      <c r="P16" s="8" t="inlineStr">
        <is>
          <t>Different line from Johann Henrich's family. Father was Johann Konze.</t>
        </is>
      </c>
    </row>
    <row r="17">
      <c r="A17" s="9" t="n">
        <v>16</v>
      </c>
      <c r="B17" s="9" t="inlineStr">
        <is>
          <t>Ludwig Konze (b. 1836, Deisel)</t>
        </is>
      </c>
      <c r="C17" s="9" t="inlineStr">
        <is>
          <t>3</t>
        </is>
      </c>
      <c r="D17" s="9" t="inlineStr">
        <is>
          <t>25 Oct 1836</t>
        </is>
      </c>
      <c r="E17" s="9" t="inlineStr">
        <is>
          <t>Deisel</t>
        </is>
      </c>
      <c r="F17" s="9" t="inlineStr">
        <is>
          <t>Unknown</t>
        </is>
      </c>
      <c r="G17" s="9" t="inlineStr">
        <is>
          <t>Frankfurt (probable)</t>
        </is>
      </c>
      <c r="H17" s="9" t="inlineStr">
        <is>
          <t>Johann Christoph Konze (19th cent.)</t>
        </is>
      </c>
      <c r="I17" s="9" t="inlineStr">
        <is>
          <t>Maria née Temme (née Drönner?)</t>
        </is>
      </c>
      <c r="J17" s="9" t="inlineStr">
        <is>
          <t>Unknown (married Frankfurt 11 Nov 1864)</t>
        </is>
      </c>
      <c r="K17" s="9" t="inlineStr">
        <is>
          <t>11 Nov 1864</t>
        </is>
      </c>
      <c r="L17" s="9" t="inlineStr">
        <is>
          <t>Frankfurt</t>
        </is>
      </c>
      <c r="M17" s="9" t="inlineStr">
        <is>
          <t>Unknown</t>
        </is>
      </c>
      <c r="N17" s="9" t="inlineStr">
        <is>
          <t>Deisel → Frankfurt</t>
        </is>
      </c>
      <c r="O17" s="9" t="inlineStr">
        <is>
          <t>Kontze Family Tree doc; Frankfurt marriage records</t>
        </is>
      </c>
      <c r="P17" s="9" t="inlineStr">
        <is>
          <t>ELIMINATED — remained in Germany. Son Alexander Carl Ludwig Konze (b. 1865).</t>
        </is>
      </c>
    </row>
    <row r="18">
      <c r="A18" s="8" t="n">
        <v>17</v>
      </c>
      <c r="B18" s="8" t="inlineStr">
        <is>
          <t>Anna Catharina née Konze (m. Kuhlmann)</t>
        </is>
      </c>
      <c r="C18" s="8" t="inlineStr">
        <is>
          <t>2?</t>
        </is>
      </c>
      <c r="D18" s="8" t="inlineStr">
        <is>
          <t>Unknown</t>
        </is>
      </c>
      <c r="E18" s="8" t="inlineStr">
        <is>
          <t>Deisel</t>
        </is>
      </c>
      <c r="F18" s="8" t="inlineStr">
        <is>
          <t>Unknown</t>
        </is>
      </c>
      <c r="G18" s="8" t="inlineStr">
        <is>
          <t>Deisel area</t>
        </is>
      </c>
      <c r="H18" s="8" t="inlineStr">
        <is>
          <t>Unknown (Konze)</t>
        </is>
      </c>
      <c r="I18" s="8" t="inlineStr">
        <is>
          <t>Unknown</t>
        </is>
      </c>
      <c r="J18" s="8" t="inlineStr">
        <is>
          <t>Kuhlmann</t>
        </is>
      </c>
      <c r="K18" s="8" t="inlineStr">
        <is>
          <t>Unknown</t>
        </is>
      </c>
      <c r="L18" s="8" t="inlineStr"/>
      <c r="M18" s="8" t="inlineStr"/>
      <c r="N18" s="8" t="inlineStr">
        <is>
          <t>Deisel</t>
        </is>
      </c>
      <c r="O18" s="8" t="inlineStr">
        <is>
          <t>Deisel burial register 218851: entry 361 (cross-reference)</t>
        </is>
      </c>
      <c r="P18" s="8" t="inlineStr">
        <is>
          <t>Married-out Konze woman. Known only from cross-reference in burial register.</t>
        </is>
      </c>
    </row>
    <row r="19">
      <c r="A19" s="8" t="n">
        <v>18</v>
      </c>
      <c r="B19" s="8" t="inlineStr">
        <is>
          <t>Wilhelmine geb. Konze (m. Schildknecht)</t>
        </is>
      </c>
      <c r="C19" s="8" t="inlineStr">
        <is>
          <t>2?</t>
        </is>
      </c>
      <c r="D19" s="8" t="inlineStr">
        <is>
          <t>Unknown</t>
        </is>
      </c>
      <c r="E19" s="8" t="inlineStr">
        <is>
          <t>Deisel</t>
        </is>
      </c>
      <c r="F19" s="8" t="inlineStr">
        <is>
          <t>Unknown</t>
        </is>
      </c>
      <c r="G19" s="8" t="inlineStr">
        <is>
          <t>Deisel area</t>
        </is>
      </c>
      <c r="H19" s="8" t="inlineStr">
        <is>
          <t>Unknown (Konze)</t>
        </is>
      </c>
      <c r="I19" s="8" t="inlineStr">
        <is>
          <t>Unknown</t>
        </is>
      </c>
      <c r="J19" s="8" t="inlineStr">
        <is>
          <t>Schildknecht</t>
        </is>
      </c>
      <c r="K19" s="8" t="inlineStr">
        <is>
          <t>May 1832</t>
        </is>
      </c>
      <c r="L19" s="8" t="inlineStr"/>
      <c r="M19" s="8" t="inlineStr"/>
      <c r="N19" s="8" t="inlineStr">
        <is>
          <t>Deisel</t>
        </is>
      </c>
      <c r="O19" s="8" t="inlineStr">
        <is>
          <t>Deisel baptism register: entry 72 (May 1832); Kontze Family Tree doc</t>
        </is>
      </c>
      <c r="P19" s="8" t="inlineStr">
        <is>
          <t>Married-out Konze woman. Known from baptism register cross-reference.</t>
        </is>
      </c>
    </row>
    <row r="20">
      <c r="A20" s="8" t="n">
        <v>19</v>
      </c>
      <c r="B20" s="8" t="inlineStr">
        <is>
          <t>Unknown geb. Konze (wife of Johann Paffe)</t>
        </is>
      </c>
      <c r="C20" s="8" t="inlineStr">
        <is>
          <t>2?</t>
        </is>
      </c>
      <c r="D20" s="8" t="inlineStr">
        <is>
          <t>Unknown</t>
        </is>
      </c>
      <c r="E20" s="8" t="inlineStr">
        <is>
          <t>Deisel</t>
        </is>
      </c>
      <c r="F20" s="8" t="inlineStr">
        <is>
          <t>Unknown</t>
        </is>
      </c>
      <c r="G20" s="8" t="inlineStr">
        <is>
          <t>Deisel</t>
        </is>
      </c>
      <c r="H20" s="8" t="inlineStr">
        <is>
          <t>Unknown (Konze)</t>
        </is>
      </c>
      <c r="I20" s="8" t="inlineStr">
        <is>
          <t>Unknown</t>
        </is>
      </c>
      <c r="J20" s="8" t="inlineStr">
        <is>
          <t>Johann Paffe</t>
        </is>
      </c>
      <c r="K20" s="8" t="inlineStr">
        <is>
          <t>Unknown</t>
        </is>
      </c>
      <c r="L20" s="8" t="inlineStr"/>
      <c r="M20" s="8" t="inlineStr"/>
      <c r="N20" s="8" t="inlineStr">
        <is>
          <t>Deisel</t>
        </is>
      </c>
      <c r="O20" s="8" t="inlineStr">
        <is>
          <t>Deisel baptism register: entry 369 (Nov 1838); Kontze Family Tree doc</t>
        </is>
      </c>
      <c r="P20" s="8" t="inlineStr">
        <is>
          <t>Unnamed Konze woman married to Johann Paffe of Deisel.</t>
        </is>
      </c>
    </row>
  </sheetData>
  <autoFilter ref="A1:P2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6"/>
  <sheetViews>
    <sheetView zoomScale="90" workbookViewId="0">
      <pane ySplit="1" topLeftCell="A2" activePane="bottomLeft" state="frozen"/>
      <selection pane="bottomLeft" activeCell="A1" sqref="A1"/>
    </sheetView>
  </sheetViews>
  <sheetFormatPr baseColWidth="8" defaultRowHeight="15"/>
  <cols>
    <col width="4" customWidth="1" min="1" max="1"/>
    <col width="16" customWidth="1" min="2" max="2"/>
    <col width="18" customWidth="1" min="3" max="3"/>
    <col width="35" customWidth="1" min="4" max="4"/>
    <col width="35" customWidth="1" min="5" max="5"/>
    <col width="40" customWidth="1" min="6" max="6"/>
    <col width="40" customWidth="1" min="7" max="7"/>
    <col width="50" customWidth="1" min="8" max="8"/>
    <col width="12" customWidth="1" min="9" max="9"/>
    <col width="65" customWidth="1" min="10" max="10"/>
  </cols>
  <sheetData>
    <row r="1">
      <c r="A1" s="1" t="inlineStr">
        <is>
          <t>#</t>
        </is>
      </c>
      <c r="B1" s="1" t="inlineStr">
        <is>
          <t>Date</t>
        </is>
      </c>
      <c r="C1" s="1" t="inlineStr">
        <is>
          <t>Place</t>
        </is>
      </c>
      <c r="D1" s="1" t="inlineStr">
        <is>
          <t>Groom</t>
        </is>
      </c>
      <c r="E1" s="1" t="inlineStr">
        <is>
          <t>Bride</t>
        </is>
      </c>
      <c r="F1" s="1" t="inlineStr">
        <is>
          <t>Groom's Father</t>
        </is>
      </c>
      <c r="G1" s="1" t="inlineStr">
        <is>
          <t>Bride's Father</t>
        </is>
      </c>
      <c r="H1" s="1" t="inlineStr">
        <is>
          <t>Register / Source</t>
        </is>
      </c>
      <c r="I1" s="1" t="inlineStr">
        <is>
          <t>Section Ref.</t>
        </is>
      </c>
      <c r="J1" s="1" t="inlineStr">
        <is>
          <t>Notes</t>
        </is>
      </c>
    </row>
    <row r="2">
      <c r="A2" s="2" t="n">
        <v>1</v>
      </c>
      <c r="B2" s="2" t="inlineStr">
        <is>
          <t>26 Nov 1773</t>
        </is>
      </c>
      <c r="C2" s="2" t="inlineStr">
        <is>
          <t>Trendelburg</t>
        </is>
      </c>
      <c r="D2" s="2" t="inlineStr">
        <is>
          <t>Johann Henrich Kontze II</t>
        </is>
      </c>
      <c r="E2" s="2" t="inlineStr">
        <is>
          <t>Martha Elisabetha née Wiechand(?)</t>
        </is>
      </c>
      <c r="F2" s="2" t="inlineStr">
        <is>
          <t>Arnold Philipp Kontze, Rathsverwandter</t>
        </is>
      </c>
      <c r="G2" s="2" t="inlineStr">
        <is>
          <t>Christian Wiechand(?), Rathsverwandter</t>
        </is>
      </c>
      <c r="H2" s="2" t="inlineStr">
        <is>
          <t>Archion 220096, p. 288, image 1139</t>
        </is>
      </c>
      <c r="I2" s="2" t="inlineStr">
        <is>
          <t>§11.13.1</t>
        </is>
      </c>
      <c r="J2" s="2" t="inlineStr">
        <is>
          <t>First marriage of JH Kontze II. Both fathers were Rathsverwandter.</t>
        </is>
      </c>
    </row>
    <row r="3">
      <c r="A3" s="2" t="n">
        <v>2</v>
      </c>
      <c r="B3" s="2" t="inlineStr">
        <is>
          <t>17 Feb 1774</t>
        </is>
      </c>
      <c r="C3" s="2" t="inlineStr">
        <is>
          <t>Trendelburg</t>
        </is>
      </c>
      <c r="D3" s="2" t="inlineStr">
        <is>
          <t>H. David Lotz (widower, Verwalter from Stockhausen)</t>
        </is>
      </c>
      <c r="E3" s="2" t="inlineStr">
        <is>
          <t>Anna Margaretha Kontze</t>
        </is>
      </c>
      <c r="F3" s="2" t="inlineStr"/>
      <c r="G3" s="2" t="inlineStr">
        <is>
          <t>Johann Henrich Kontze I (Rathsverwandter, deceased)</t>
        </is>
      </c>
      <c r="H3" s="2" t="inlineStr">
        <is>
          <t>Archion 220096, p. 288, image 1139</t>
        </is>
      </c>
      <c r="I3" s="2" t="inlineStr">
        <is>
          <t>§11.13.2</t>
        </is>
      </c>
      <c r="J3" s="2" t="inlineStr">
        <is>
          <t>Daughter of the ELDER Johann Henrich Kontze I married out.</t>
        </is>
      </c>
    </row>
    <row r="4">
      <c r="A4" s="2" t="n">
        <v>3</v>
      </c>
      <c r="B4" s="2" t="inlineStr">
        <is>
          <t>30 Nov 1780</t>
        </is>
      </c>
      <c r="C4" s="2" t="inlineStr">
        <is>
          <t>Trendelburg</t>
        </is>
      </c>
      <c r="D4" s="2" t="inlineStr">
        <is>
          <t>Johannes Kontze</t>
        </is>
      </c>
      <c r="E4" s="2" t="inlineStr">
        <is>
          <t>Anna Margaretha Thiele</t>
        </is>
      </c>
      <c r="F4" s="2" t="inlineStr">
        <is>
          <t>Arnold Philipp Kontze (Rathsverwandter, deceased)</t>
        </is>
      </c>
      <c r="G4" s="2" t="inlineStr">
        <is>
          <t>Johannes Thiele (Einwohner, Ackermann, Deisel)</t>
        </is>
      </c>
      <c r="H4" s="2" t="inlineStr">
        <is>
          <t>Archion 220096, p. 296, image 1143</t>
        </is>
      </c>
      <c r="I4" s="2" t="inlineStr">
        <is>
          <t>§11.13.4</t>
        </is>
      </c>
      <c r="J4" s="2" t="inlineStr">
        <is>
          <t>Second son of Arnold Philipp. Bride FROM DEISEL — key cross-village link.</t>
        </is>
      </c>
    </row>
    <row r="5">
      <c r="A5" s="2" t="n">
        <v>4</v>
      </c>
      <c r="B5" s="2" t="inlineStr">
        <is>
          <t>5 Dec 1783</t>
        </is>
      </c>
      <c r="C5" s="2" t="inlineStr">
        <is>
          <t>Trendelburg</t>
        </is>
      </c>
      <c r="D5" s="2" t="inlineStr">
        <is>
          <t>Johann Henrich Kontze II (widower)</t>
        </is>
      </c>
      <c r="E5" s="2" t="inlineStr">
        <is>
          <t>Anna Catharina Asthermann</t>
        </is>
      </c>
      <c r="F5" s="2" t="inlineStr">
        <is>
          <t>Arnold Philipp Kontze</t>
        </is>
      </c>
      <c r="G5" s="2" t="inlineStr">
        <is>
          <t>Conrad Asthermann (from Ehr[?]schütz)</t>
        </is>
      </c>
      <c r="H5" s="2" t="inlineStr">
        <is>
          <t>Archion 220096, p. 297, image 1143</t>
        </is>
      </c>
      <c r="I5" s="2" t="inlineStr">
        <is>
          <t>§11.13.3</t>
        </is>
      </c>
      <c r="J5" s="2" t="inlineStr">
        <is>
          <t>Second marriage of JH Kontze II. Anna Catharina identified as mother of Andreas (b. 1787) via baptism record.</t>
        </is>
      </c>
    </row>
    <row r="6">
      <c r="A6" s="2" t="n">
        <v>5</v>
      </c>
      <c r="B6" s="2" t="inlineStr">
        <is>
          <t>15 Feb 1795</t>
        </is>
      </c>
      <c r="C6" s="2" t="inlineStr">
        <is>
          <t>Trendelburg</t>
        </is>
      </c>
      <c r="D6" s="2" t="inlineStr">
        <is>
          <t>Johann Friedrich Kontze</t>
        </is>
      </c>
      <c r="E6" s="2" t="inlineStr">
        <is>
          <t>Dorthea Elisabeth</t>
        </is>
      </c>
      <c r="F6" s="2" t="inlineStr">
        <is>
          <t>Andreas Kontze (Küster, Deisel — 'hweiland'/deceased)</t>
        </is>
      </c>
      <c r="G6" s="2" t="inlineStr">
        <is>
          <t>Deceased Bürgermeister (surname ending -oden)</t>
        </is>
      </c>
      <c r="H6" s="2" t="inlineStr">
        <is>
          <t>Archion 220096, p. 306, image 1148</t>
        </is>
      </c>
      <c r="I6" s="2" t="inlineStr">
        <is>
          <t>§11.17.1</t>
        </is>
      </c>
      <c r="J6" s="2" t="inlineStr">
        <is>
          <t>Groom born 14 Dec 1763. Bride born 11 Nov 1766. Father confirmed dead by 1795 via 'hweiland.'</t>
        </is>
      </c>
    </row>
    <row r="7">
      <c r="A7" s="2" t="n">
        <v>6</v>
      </c>
      <c r="B7" s="2" t="inlineStr">
        <is>
          <t>12 Jan 1806</t>
        </is>
      </c>
      <c r="C7" s="2" t="inlineStr">
        <is>
          <t>Trendelburg</t>
        </is>
      </c>
      <c r="D7" s="2" t="inlineStr">
        <is>
          <t>Johannes Kontze (widower)</t>
        </is>
      </c>
      <c r="E7" s="2" t="inlineStr">
        <is>
          <t>Maria Elisabeth Grosbernd</t>
        </is>
      </c>
      <c r="F7" s="2" t="inlineStr"/>
      <c r="G7" s="2" t="inlineStr">
        <is>
          <t>Johannes Grosbernd (Wagner/wheelwright, deceased)</t>
        </is>
      </c>
      <c r="H7" s="2" t="inlineStr">
        <is>
          <t>Archion 220096, p. 321, image 1155</t>
        </is>
      </c>
      <c r="I7" s="2" t="inlineStr">
        <is>
          <t>§11.4</t>
        </is>
      </c>
      <c r="J7" s="2" t="inlineStr">
        <is>
          <t>Second marriage of Johannes Kontze after death of Anna Margaretha née Thiele.</t>
        </is>
      </c>
    </row>
    <row r="8">
      <c r="A8" s="2" t="n">
        <v>7</v>
      </c>
      <c r="B8" s="2" t="inlineStr">
        <is>
          <t>8 Mar 1807</t>
        </is>
      </c>
      <c r="C8" s="2" t="inlineStr">
        <is>
          <t>Trendelburg</t>
        </is>
      </c>
      <c r="D8" s="2" t="inlineStr">
        <is>
          <t>Andreas Contze</t>
        </is>
      </c>
      <c r="E8" s="2" t="inlineStr">
        <is>
          <t>Wilhelmina née Hofedietz (originally misread as Grosbernd)</t>
        </is>
      </c>
      <c r="F8" s="2" t="inlineStr">
        <is>
          <t>Johann Henrich Contze (deceased) — per marriage entry; CORRECTED to Johann Friedrich per §11.15.1</t>
        </is>
      </c>
      <c r="G8" s="2" t="inlineStr">
        <is>
          <t>Johannes Hofedietz (deceased) — per marriage entry</t>
        </is>
      </c>
      <c r="H8" s="2" t="inlineStr">
        <is>
          <t>Archion 220096, p. 322, image 1156</t>
        </is>
      </c>
      <c r="I8" s="2" t="inlineStr">
        <is>
          <t>§11.5</t>
        </is>
      </c>
      <c r="J8" s="2" t="inlineStr">
        <is>
          <t>Marriage entry says father = Johann Henrich; baptism records say father = Johann Friedrich. Bride's maiden name debated: marriage says Hofedietz, baptism records say Grossbernd. See §11.15.2 and notes.</t>
        </is>
      </c>
    </row>
    <row r="9">
      <c r="A9" s="2" t="n">
        <v>8</v>
      </c>
      <c r="B9" s="2" t="inlineStr">
        <is>
          <t>Before 1808</t>
        </is>
      </c>
      <c r="C9" s="2" t="inlineStr">
        <is>
          <t>Trendelburg (probable)</t>
        </is>
      </c>
      <c r="D9" s="2" t="inlineStr">
        <is>
          <t>Johann Friedrich Kontze</t>
        </is>
      </c>
      <c r="E9" s="2" t="inlineStr">
        <is>
          <t>Wilhelmine née Grossbernd (2nd wife)</t>
        </is>
      </c>
      <c r="F9" s="2" t="inlineStr">
        <is>
          <t>Andreas Kontze (Küster, Deisel)</t>
        </is>
      </c>
      <c r="G9" s="2" t="inlineStr">
        <is>
          <t>Joh. Friedrich Grossbernd (Ackermann)</t>
        </is>
      </c>
      <c r="H9" s="2" t="inlineStr">
        <is>
          <t>Inferred from baptism entries (§11.15.2-3) — no marriage entry found</t>
        </is>
      </c>
      <c r="I9" s="2" t="inlineStr">
        <is>
          <t>§11.15.2</t>
        </is>
      </c>
      <c r="J9" s="2" t="inlineStr">
        <is>
          <t>Second marriage after death of Dorthea Elisabeth. Wife's maiden name 'Grossberndin' clearly stated in 1810 baptism record.</t>
        </is>
      </c>
    </row>
    <row r="10">
      <c r="A10" s="2" t="n">
        <v>9</v>
      </c>
      <c r="B10" s="2" t="inlineStr">
        <is>
          <t>19 Jun 1808</t>
        </is>
      </c>
      <c r="C10" s="2" t="inlineStr">
        <is>
          <t>Trendelburg</t>
        </is>
      </c>
      <c r="D10" s="2" t="inlineStr">
        <is>
          <t>Johann George Doenges</t>
        </is>
      </c>
      <c r="E10" s="2" t="inlineStr">
        <is>
          <t>Anna Catharina Contze</t>
        </is>
      </c>
      <c r="F10" s="2" t="inlineStr">
        <is>
          <t>Jonas Doenges (tailor, deceased)</t>
        </is>
      </c>
      <c r="G10" s="2" t="inlineStr">
        <is>
          <t>Johannes Contze (Bürger und Ackermann)</t>
        </is>
      </c>
      <c r="H10" s="2" t="inlineStr">
        <is>
          <t>Archion 220096, p. 324, image 1157</t>
        </is>
      </c>
      <c r="I10" s="2" t="inlineStr">
        <is>
          <t>§11.6</t>
        </is>
      </c>
      <c r="J10" s="2" t="inlineStr">
        <is>
          <t>Kontze daughter married out into Doenges (tailor) family.</t>
        </is>
      </c>
    </row>
    <row r="11">
      <c r="A11" s="2" t="n">
        <v>10</v>
      </c>
      <c r="B11" s="2" t="inlineStr">
        <is>
          <t>5 Jun 1818</t>
        </is>
      </c>
      <c r="C11" s="2" t="inlineStr">
        <is>
          <t>Trendelburg</t>
        </is>
      </c>
      <c r="D11" s="2" t="inlineStr">
        <is>
          <t>Andreas Konze (b. 1787)</t>
        </is>
      </c>
      <c r="E11" s="2" t="inlineStr">
        <is>
          <t>Anna Christina Heidt</t>
        </is>
      </c>
      <c r="F11" s="2" t="inlineStr">
        <is>
          <t>Johann Friedrich Kontze (Ackermann)</t>
        </is>
      </c>
      <c r="G11" s="2" t="inlineStr">
        <is>
          <t>Unknown (Heidt)</t>
        </is>
      </c>
      <c r="H11" s="2" t="inlineStr">
        <is>
          <t>Stammtafel; in 1773-1818 Archion gap (physical register only)</t>
        </is>
      </c>
      <c r="I11" s="2" t="inlineStr">
        <is>
          <t>Stammtafel</t>
        </is>
      </c>
      <c r="J11" s="2" t="inlineStr">
        <is>
          <t>Third marriage for Anna Christina Heidt (previously married Herwig 1797, Hofmann 1814). No children from this union.</t>
        </is>
      </c>
    </row>
    <row r="12">
      <c r="A12" s="2" t="n">
        <v>11</v>
      </c>
      <c r="B12" s="2" t="inlineStr">
        <is>
          <t>23 Mar 1821</t>
        </is>
      </c>
      <c r="C12" s="2" t="inlineStr">
        <is>
          <t>Trendelburg</t>
        </is>
      </c>
      <c r="D12" s="2" t="inlineStr">
        <is>
          <t>Andreas Konze (b. 1795, son of Friedrich)</t>
        </is>
      </c>
      <c r="E12" s="2" t="inlineStr">
        <is>
          <t>Wilhelmine Hofeditz</t>
        </is>
      </c>
      <c r="F12" s="2" t="inlineStr">
        <is>
          <t>Friedrich Konze</t>
        </is>
      </c>
      <c r="G12" s="2" t="inlineStr">
        <is>
          <t>Ludwig Hofeditz (from Friedrichsfeld)</t>
        </is>
      </c>
      <c r="H12" s="2" t="inlineStr">
        <is>
          <t>Peter Schrader 'Andreas Konze.pdf'</t>
        </is>
      </c>
      <c r="I12" s="2" t="inlineStr">
        <is>
          <t>§13.1</t>
        </is>
      </c>
      <c r="J12" s="2" t="inlineStr">
        <is>
          <t>DIFFERENT Andreas Konze from Stammtafel. Already in Persons sheet (#8).</t>
        </is>
      </c>
    </row>
    <row r="13">
      <c r="A13" s="2" t="n">
        <v>12</v>
      </c>
      <c r="B13" s="2" t="inlineStr">
        <is>
          <t>16 Dec 1827</t>
        </is>
      </c>
      <c r="C13" s="2" t="inlineStr">
        <is>
          <t>Trendelburg</t>
        </is>
      </c>
      <c r="D13" s="2" t="inlineStr">
        <is>
          <t>Andreas Konze (b. 1795, widower)</t>
        </is>
      </c>
      <c r="E13" s="2" t="inlineStr">
        <is>
          <t>Maria Sophia Hofeditz</t>
        </is>
      </c>
      <c r="F13" s="2" t="inlineStr">
        <is>
          <t>Friedrich Konze</t>
        </is>
      </c>
      <c r="G13" s="2" t="inlineStr">
        <is>
          <t>Ludwig Hofeditz (from Friedrichsfeld)</t>
        </is>
      </c>
      <c r="H13" s="2" t="inlineStr">
        <is>
          <t>Archion 220120; Peter Schrader PDF</t>
        </is>
      </c>
      <c r="I13" s="2" t="inlineStr">
        <is>
          <t>§13.1</t>
        </is>
      </c>
      <c r="J13" s="2" t="inlineStr">
        <is>
          <t>Married sister of deceased first wife. Already in Persons sheet (#10).</t>
        </is>
      </c>
    </row>
    <row r="14">
      <c r="A14" s="2" t="n">
        <v>13</v>
      </c>
      <c r="B14" s="2" t="inlineStr">
        <is>
          <t>1849</t>
        </is>
      </c>
      <c r="C14" s="2" t="inlineStr">
        <is>
          <t>Deisel</t>
        </is>
      </c>
      <c r="D14" s="2" t="inlineStr">
        <is>
          <t>Philipp Konze #1</t>
        </is>
      </c>
      <c r="E14" s="2" t="inlineStr">
        <is>
          <t>Florentina Schildknecht</t>
        </is>
      </c>
      <c r="F14" s="2" t="inlineStr">
        <is>
          <t>Johann Konze (deceased)</t>
        </is>
      </c>
      <c r="G14" s="2" t="inlineStr"/>
      <c r="H14" s="2" t="inlineStr">
        <is>
          <t>Deisel records</t>
        </is>
      </c>
      <c r="I14" s="2" t="inlineStr">
        <is>
          <t>Kontze Family Tree</t>
        </is>
      </c>
      <c r="J14" s="2" t="inlineStr">
        <is>
          <t>Deisel family. Different line from Johann Henrich's.</t>
        </is>
      </c>
    </row>
    <row r="15">
      <c r="A15" s="2" t="n">
        <v>14</v>
      </c>
      <c r="B15" s="2" t="inlineStr">
        <is>
          <t>21 Jun 1850</t>
        </is>
      </c>
      <c r="C15" s="2" t="inlineStr">
        <is>
          <t>Deisel</t>
        </is>
      </c>
      <c r="D15" s="2" t="inlineStr">
        <is>
          <t>Philipp Konze #2</t>
        </is>
      </c>
      <c r="E15" s="2" t="inlineStr">
        <is>
          <t>Wilhelmine Moritz</t>
        </is>
      </c>
      <c r="F15" s="2" t="inlineStr">
        <is>
          <t>Johann Henrich Kontze line</t>
        </is>
      </c>
      <c r="G15" s="2" t="inlineStr"/>
      <c r="H15" s="2" t="inlineStr">
        <is>
          <t>Deisel burial register 218851: entry 193</t>
        </is>
      </c>
      <c r="I15" s="2" t="inlineStr">
        <is>
          <t>Kontze Family Tree</t>
        </is>
      </c>
      <c r="J15" s="2" t="inlineStr">
        <is>
          <t>Deisel family.</t>
        </is>
      </c>
    </row>
    <row r="16">
      <c r="A16" s="2" t="n">
        <v>15</v>
      </c>
      <c r="B16" s="2" t="inlineStr">
        <is>
          <t>11 Nov 1864</t>
        </is>
      </c>
      <c r="C16" s="2" t="inlineStr">
        <is>
          <t>Frankfurt</t>
        </is>
      </c>
      <c r="D16" s="2" t="inlineStr">
        <is>
          <t>Ludwig Konze (b. 1836)</t>
        </is>
      </c>
      <c r="E16" s="2" t="inlineStr">
        <is>
          <t>Unknown</t>
        </is>
      </c>
      <c r="F16" s="2" t="inlineStr">
        <is>
          <t>Johann Christoph Konze</t>
        </is>
      </c>
      <c r="G16" s="2" t="inlineStr"/>
      <c r="H16" s="2" t="inlineStr">
        <is>
          <t>Frankfurt marriage records</t>
        </is>
      </c>
      <c r="I16" s="2" t="inlineStr">
        <is>
          <t>Kontze Family Tree</t>
        </is>
      </c>
      <c r="J16" s="2" t="inlineStr">
        <is>
          <t>ELIMINATED — remained in Germany.</t>
        </is>
      </c>
    </row>
  </sheetData>
  <autoFilter ref="A1:J1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6"/>
  <sheetViews>
    <sheetView zoomScale="90" workbookViewId="0">
      <pane ySplit="1" topLeftCell="A2" activePane="bottomLeft" state="frozen"/>
      <selection pane="bottomLeft" activeCell="A1" sqref="A1"/>
    </sheetView>
  </sheetViews>
  <sheetFormatPr baseColWidth="8" defaultRowHeight="15"/>
  <cols>
    <col width="4" customWidth="1" min="1" max="1"/>
    <col width="22" customWidth="1" min="2" max="2"/>
    <col width="16" customWidth="1" min="3" max="3"/>
    <col width="16" customWidth="1" min="4" max="4"/>
    <col width="40" customWidth="1" min="5" max="5"/>
    <col width="12" customWidth="1" min="6" max="6"/>
    <col width="14" customWidth="1" min="7" max="7"/>
    <col width="45" customWidth="1" min="8" max="8"/>
    <col width="40" customWidth="1" min="9" max="9"/>
    <col width="22" customWidth="1" min="10" max="10"/>
    <col width="65" customWidth="1" min="11" max="11"/>
  </cols>
  <sheetData>
    <row r="1">
      <c r="A1" s="1" t="inlineStr">
        <is>
          <t>#</t>
        </is>
      </c>
      <c r="B1" s="1" t="inlineStr">
        <is>
          <t>Death Date</t>
        </is>
      </c>
      <c r="C1" s="1" t="inlineStr">
        <is>
          <t>Burial Date</t>
        </is>
      </c>
      <c r="D1" s="1" t="inlineStr">
        <is>
          <t>Place</t>
        </is>
      </c>
      <c r="E1" s="1" t="inlineStr">
        <is>
          <t>Name</t>
        </is>
      </c>
      <c r="F1" s="1" t="inlineStr">
        <is>
          <t>Age at Death</t>
        </is>
      </c>
      <c r="G1" s="1" t="inlineStr">
        <is>
          <t>Est. Birth</t>
        </is>
      </c>
      <c r="H1" s="1" t="inlineStr">
        <is>
          <t>Status / Relationship</t>
        </is>
      </c>
      <c r="I1" s="1" t="inlineStr">
        <is>
          <t>Register / Source</t>
        </is>
      </c>
      <c r="J1" s="1" t="inlineStr">
        <is>
          <t>Image/Entry</t>
        </is>
      </c>
      <c r="K1" s="1" t="inlineStr">
        <is>
          <t>Notes</t>
        </is>
      </c>
    </row>
    <row r="2">
      <c r="A2" s="2" t="n">
        <v>1</v>
      </c>
      <c r="B2" s="2" t="inlineStr">
        <is>
          <t>28 Dec 1655</t>
        </is>
      </c>
      <c r="C2" s="2" t="inlineStr"/>
      <c r="D2" s="2" t="inlineStr">
        <is>
          <t>Deisel</t>
        </is>
      </c>
      <c r="E2" s="2" t="inlineStr">
        <is>
          <t>Kontze, Junig</t>
        </is>
      </c>
      <c r="F2" s="2" t="inlineStr">
        <is>
          <t>Unknown</t>
        </is>
      </c>
      <c r="G2" s="2" t="inlineStr">
        <is>
          <t>Unknown</t>
        </is>
      </c>
      <c r="H2" s="2" t="inlineStr">
        <is>
          <t>Unknown</t>
        </is>
      </c>
      <c r="I2" s="2" t="inlineStr">
        <is>
          <t>Registerband 218833 burial index</t>
        </is>
      </c>
      <c r="J2" s="2" t="inlineStr">
        <is>
          <t>Image 1366/1368</t>
        </is>
      </c>
      <c r="K2" s="2" t="inlineStr">
        <is>
          <t>Earliest known Kontze burial in Deisel.</t>
        </is>
      </c>
    </row>
    <row r="3">
      <c r="A3" s="2" t="n">
        <v>2</v>
      </c>
      <c r="B3" s="2" t="inlineStr">
        <is>
          <t>1789</t>
        </is>
      </c>
      <c r="C3" s="2" t="inlineStr"/>
      <c r="D3" s="2" t="inlineStr">
        <is>
          <t>Deisel</t>
        </is>
      </c>
      <c r="E3" s="2" t="inlineStr">
        <is>
          <t>Johann George (son of J.C. Kontze)</t>
        </is>
      </c>
      <c r="F3" s="2" t="inlineStr">
        <is>
          <t>Child</t>
        </is>
      </c>
      <c r="G3" s="2" t="inlineStr">
        <is>
          <t>Unknown</t>
        </is>
      </c>
      <c r="H3" s="2" t="inlineStr">
        <is>
          <t>Son of Johann Christoph Kontze, House Nr. 24</t>
        </is>
      </c>
      <c r="I3" s="2" t="inlineStr">
        <is>
          <t>Deisel KB 218821</t>
        </is>
      </c>
      <c r="J3" s="2" t="inlineStr">
        <is>
          <t>Image 1555</t>
        </is>
      </c>
      <c r="K3" s="2" t="inlineStr"/>
    </row>
    <row r="4">
      <c r="A4" s="2" t="n">
        <v>3</v>
      </c>
      <c r="B4" s="2" t="inlineStr">
        <is>
          <t>2 Mar 1791 (9 PM)</t>
        </is>
      </c>
      <c r="C4" s="2" t="inlineStr"/>
      <c r="D4" s="2" t="inlineStr">
        <is>
          <t>Deisel</t>
        </is>
      </c>
      <c r="E4" s="2" t="inlineStr">
        <is>
          <t>Andreas Kontze (I) — Küster</t>
        </is>
      </c>
      <c r="F4" s="2" t="inlineStr">
        <is>
          <t>72y 6mo</t>
        </is>
      </c>
      <c r="G4" s="2" t="inlineStr">
        <is>
          <t>~Sep 1718</t>
        </is>
      </c>
      <c r="H4" s="2" t="inlineStr">
        <is>
          <t>Gewesener Küster (former sexton), House Nr. 1</t>
        </is>
      </c>
      <c r="I4" s="2" t="inlineStr">
        <is>
          <t>Deisel KB 218821</t>
        </is>
      </c>
      <c r="J4" s="2" t="inlineStr">
        <is>
          <t>Image 1558, entry 223</t>
        </is>
      </c>
      <c r="K4" s="2" t="inlineStr">
        <is>
          <t>PATRIARCH. Major discovery.</t>
        </is>
      </c>
    </row>
    <row r="5">
      <c r="A5" s="2" t="n">
        <v>4</v>
      </c>
      <c r="B5" s="2" t="inlineStr">
        <is>
          <t>17 Apr 1792 (6 PM)</t>
        </is>
      </c>
      <c r="C5" s="2" t="inlineStr">
        <is>
          <t>19 Apr 1792</t>
        </is>
      </c>
      <c r="D5" s="2" t="inlineStr">
        <is>
          <t>Deisel</t>
        </is>
      </c>
      <c r="E5" s="2" t="inlineStr">
        <is>
          <t>Johann Henrich Kontze (Deisel)</t>
        </is>
      </c>
      <c r="F5" s="2" t="inlineStr">
        <is>
          <t>45y 25d</t>
        </is>
      </c>
      <c r="G5" s="2" t="inlineStr">
        <is>
          <t>~23 Mar 1747</t>
        </is>
      </c>
      <c r="H5" s="2" t="inlineStr">
        <is>
          <t>Ackermann (farmer)</t>
        </is>
      </c>
      <c r="I5" s="2" t="inlineStr">
        <is>
          <t>Deisel KB 218821</t>
        </is>
      </c>
      <c r="J5" s="2" t="inlineStr">
        <is>
          <t>Image 1559</t>
        </is>
      </c>
      <c r="K5" s="2" t="inlineStr">
        <is>
          <t>Probable son of Andreas I. Same birth year as J.C. Contze.</t>
        </is>
      </c>
    </row>
    <row r="6">
      <c r="A6" s="2" t="n">
        <v>5</v>
      </c>
      <c r="B6" s="2" t="inlineStr">
        <is>
          <t>1795</t>
        </is>
      </c>
      <c r="C6" s="2" t="inlineStr"/>
      <c r="D6" s="2" t="inlineStr">
        <is>
          <t>Deisel</t>
        </is>
      </c>
      <c r="E6" s="2" t="inlineStr">
        <is>
          <t>Johannes Friedrich (son of J.C. Kontze)</t>
        </is>
      </c>
      <c r="F6" s="2" t="inlineStr">
        <is>
          <t>~5 years</t>
        </is>
      </c>
      <c r="G6" s="2" t="inlineStr">
        <is>
          <t>~1790</t>
        </is>
      </c>
      <c r="H6" s="2" t="inlineStr">
        <is>
          <t>Son of Johann Christoph Kontze; mother possibly née Marquard</t>
        </is>
      </c>
      <c r="I6" s="2" t="inlineStr">
        <is>
          <t>Deisel KB 218821</t>
        </is>
      </c>
      <c r="J6" s="2" t="inlineStr">
        <is>
          <t>Image 1561</t>
        </is>
      </c>
      <c r="K6" s="2" t="inlineStr"/>
    </row>
    <row r="7">
      <c r="A7" s="2" t="n">
        <v>6</v>
      </c>
      <c r="B7" s="2" t="inlineStr">
        <is>
          <t>4 Nov 1800</t>
        </is>
      </c>
      <c r="C7" s="2" t="inlineStr"/>
      <c r="D7" s="2" t="inlineStr">
        <is>
          <t>Trendelburg</t>
        </is>
      </c>
      <c r="E7" s="2" t="inlineStr">
        <is>
          <t>Anna Margaretha née Contzin</t>
        </is>
      </c>
      <c r="F7" s="2" t="inlineStr">
        <is>
          <t>51y 3mo</t>
        </is>
      </c>
      <c r="G7" s="2" t="inlineStr">
        <is>
          <t>~1749</t>
        </is>
      </c>
      <c r="H7" s="2" t="inlineStr">
        <is>
          <t>Wife of Heinrich Albrecht</t>
        </is>
      </c>
      <c r="I7" s="2" t="inlineStr">
        <is>
          <t>Archion 220096 burials</t>
        </is>
      </c>
      <c r="J7" s="2" t="inlineStr">
        <is>
          <t>§11.17.2 entry 1</t>
        </is>
      </c>
      <c r="K7" s="2" t="inlineStr">
        <is>
          <t>Married-out Kontze woman.</t>
        </is>
      </c>
    </row>
    <row r="8">
      <c r="A8" s="2" t="n">
        <v>7</v>
      </c>
      <c r="B8" s="2" t="inlineStr">
        <is>
          <t>9 Nov 1800</t>
        </is>
      </c>
      <c r="C8" s="2" t="inlineStr"/>
      <c r="D8" s="2" t="inlineStr">
        <is>
          <t>Trendelburg</t>
        </is>
      </c>
      <c r="E8" s="2" t="inlineStr">
        <is>
          <t>Joh. Andreas Contze (II)</t>
        </is>
      </c>
      <c r="F8" s="2" t="inlineStr">
        <is>
          <t>78y less 3mo</t>
        </is>
      </c>
      <c r="G8" s="2" t="inlineStr">
        <is>
          <t>~1722</t>
        </is>
      </c>
      <c r="H8" s="2" t="inlineStr">
        <is>
          <t>Ackermann allhier</t>
        </is>
      </c>
      <c r="I8" s="2" t="inlineStr">
        <is>
          <t>Archion 220096 burials</t>
        </is>
      </c>
      <c r="J8" s="2" t="inlineStr">
        <is>
          <t>§11.17.2 entry 2</t>
        </is>
      </c>
      <c r="K8" s="2" t="inlineStr">
        <is>
          <t>DIFFERENT from Andreas Kontze I (Küster, d. 1791).</t>
        </is>
      </c>
    </row>
    <row r="9">
      <c r="A9" s="2" t="n">
        <v>8</v>
      </c>
      <c r="B9" s="2" t="inlineStr">
        <is>
          <t>1801</t>
        </is>
      </c>
      <c r="C9" s="2" t="inlineStr"/>
      <c r="D9" s="2" t="inlineStr">
        <is>
          <t>Trendelburg</t>
        </is>
      </c>
      <c r="E9" s="2" t="inlineStr">
        <is>
          <t>Catharina Elisabeth née Conzen</t>
        </is>
      </c>
      <c r="F9" s="2" t="inlineStr">
        <is>
          <t>67y</t>
        </is>
      </c>
      <c r="G9" s="2" t="inlineStr">
        <is>
          <t>~1734</t>
        </is>
      </c>
      <c r="H9" s="2" t="inlineStr">
        <is>
          <t>Wife of Christoph Bornhage (Bürgermeister)</t>
        </is>
      </c>
      <c r="I9" s="2" t="inlineStr">
        <is>
          <t>Archion 220096 burials</t>
        </is>
      </c>
      <c r="J9" s="2" t="inlineStr">
        <is>
          <t>§11.17.2 entry 3</t>
        </is>
      </c>
      <c r="K9" s="2" t="inlineStr"/>
    </row>
    <row r="10">
      <c r="A10" s="2" t="n">
        <v>9</v>
      </c>
      <c r="B10" s="2" t="inlineStr">
        <is>
          <t>9 May 1801</t>
        </is>
      </c>
      <c r="C10" s="2" t="inlineStr"/>
      <c r="D10" s="2" t="inlineStr">
        <is>
          <t>Trendelburg</t>
        </is>
      </c>
      <c r="E10" s="2" t="inlineStr">
        <is>
          <t>Christina Charlotta (Jungconze)</t>
        </is>
      </c>
      <c r="F10" s="2" t="inlineStr">
        <is>
          <t>Infant/child</t>
        </is>
      </c>
      <c r="G10" s="2" t="inlineStr">
        <is>
          <t>~1800</t>
        </is>
      </c>
      <c r="H10" s="2" t="inlineStr">
        <is>
          <t>Daughter of Johannes Jungconze, Bürger</t>
        </is>
      </c>
      <c r="I10" s="2" t="inlineStr">
        <is>
          <t>Archion 220096 burials</t>
        </is>
      </c>
      <c r="J10" s="2" t="inlineStr">
        <is>
          <t>§11.17.2 entry 4</t>
        </is>
      </c>
      <c r="K10" s="2" t="inlineStr">
        <is>
          <t>'Jungconze' Hausname.</t>
        </is>
      </c>
    </row>
    <row r="11">
      <c r="A11" s="2" t="n">
        <v>10</v>
      </c>
      <c r="B11" s="2" t="inlineStr">
        <is>
          <t>12 Jan 1804</t>
        </is>
      </c>
      <c r="C11" s="2" t="inlineStr"/>
      <c r="D11" s="2" t="inlineStr">
        <is>
          <t>Trendelburg</t>
        </is>
      </c>
      <c r="E11" s="2" t="inlineStr">
        <is>
          <t>Johann Contze (infant)</t>
        </is>
      </c>
      <c r="F11" s="2" t="inlineStr">
        <is>
          <t>~12 months</t>
        </is>
      </c>
      <c r="G11" s="2" t="inlineStr">
        <is>
          <t>~1803</t>
        </is>
      </c>
      <c r="H11" s="2" t="inlineStr">
        <is>
          <t>Son of Johannes 'uf der Mühlen'</t>
        </is>
      </c>
      <c r="I11" s="2" t="inlineStr">
        <is>
          <t>Archion 220096 burials</t>
        </is>
      </c>
      <c r="J11" s="2" t="inlineStr">
        <is>
          <t>Image 1201 (§11.23.1)</t>
        </is>
      </c>
      <c r="K11" s="2" t="inlineStr">
        <is>
          <t>'Uf der Mühlen' = at the mill.</t>
        </is>
      </c>
    </row>
    <row r="12">
      <c r="A12" s="2" t="n">
        <v>11</v>
      </c>
      <c r="B12" s="2" t="inlineStr">
        <is>
          <t>2 May 1804</t>
        </is>
      </c>
      <c r="C12" s="2" t="inlineStr"/>
      <c r="D12" s="2" t="inlineStr">
        <is>
          <t>Trendelburg</t>
        </is>
      </c>
      <c r="E12" s="2" t="inlineStr">
        <is>
          <t>Joh. Henrich Contze (II)</t>
        </is>
      </c>
      <c r="F12" s="2" t="inlineStr">
        <is>
          <t>~61-64y</t>
        </is>
      </c>
      <c r="G12" s="2" t="inlineStr">
        <is>
          <t>~1740-1743</t>
        </is>
      </c>
      <c r="H12" s="2" t="inlineStr">
        <is>
          <t>Bürger und Ackermann allhier</t>
        </is>
      </c>
      <c r="I12" s="2" t="inlineStr">
        <is>
          <t>Archion 220096 burials</t>
        </is>
      </c>
      <c r="J12" s="2" t="inlineStr">
        <is>
          <t>Image 1201 (§11.23.1); §11.17.2 entry 5</t>
        </is>
      </c>
      <c r="K12" s="2" t="inlineStr">
        <is>
          <t>Father of Andreas (b. 1787) per marriage entry — later corrected to Johann Friedrich per baptism.</t>
        </is>
      </c>
    </row>
    <row r="13">
      <c r="A13" s="2" t="n">
        <v>12</v>
      </c>
      <c r="B13" s="2" t="inlineStr">
        <is>
          <t>~1804/1805</t>
        </is>
      </c>
      <c r="C13" s="2" t="inlineStr"/>
      <c r="D13" s="2" t="inlineStr">
        <is>
          <t>Trendelburg</t>
        </is>
      </c>
      <c r="E13" s="2" t="inlineStr">
        <is>
          <t>Anna Margaretha (wife of Johannes Contze)</t>
        </is>
      </c>
      <c r="F13" s="2" t="inlineStr">
        <is>
          <t>~54y</t>
        </is>
      </c>
      <c r="G13" s="2" t="inlineStr">
        <is>
          <t>~1750</t>
        </is>
      </c>
      <c r="H13" s="2" t="inlineStr">
        <is>
          <t>Wife of Johannes Contze, Bürger und Ackermann</t>
        </is>
      </c>
      <c r="I13" s="2" t="inlineStr">
        <is>
          <t>Archion 220096 burials</t>
        </is>
      </c>
      <c r="J13" s="2" t="inlineStr">
        <is>
          <t>§11.17.2 entry 6</t>
        </is>
      </c>
      <c r="K13" s="2">
        <f> Anna Margaretha née Thiele of Deisel.</f>
        <v/>
      </c>
    </row>
    <row r="14">
      <c r="A14" s="2" t="n">
        <v>13</v>
      </c>
      <c r="B14" s="2" t="inlineStr">
        <is>
          <t>1807 (buried 9 Mar 1807)</t>
        </is>
      </c>
      <c r="C14" s="2" t="inlineStr"/>
      <c r="D14" s="2" t="inlineStr">
        <is>
          <t>Trendelburg</t>
        </is>
      </c>
      <c r="E14" s="2" t="inlineStr">
        <is>
          <t>Anna Christina née Contzen</t>
        </is>
      </c>
      <c r="F14" s="2" t="inlineStr">
        <is>
          <t>~72-79y</t>
        </is>
      </c>
      <c r="G14" s="2" t="inlineStr">
        <is>
          <t>~1728-1735</t>
        </is>
      </c>
      <c r="H14" s="2" t="inlineStr">
        <is>
          <t>Widow of Andreas Contze (II)</t>
        </is>
      </c>
      <c r="I14" s="2" t="inlineStr">
        <is>
          <t>Archion 220096 burials</t>
        </is>
      </c>
      <c r="J14" s="2" t="inlineStr">
        <is>
          <t>Image 1204 (§11.11.1A); Image 1207 (§11.23.1)</t>
        </is>
      </c>
      <c r="K14" s="2" t="inlineStr">
        <is>
          <t>Two age readings: 72y (§11.11.1A) and 79y (§11.23.1) — from different image readings.</t>
        </is>
      </c>
    </row>
    <row r="15">
      <c r="A15" s="2" t="n">
        <v>14</v>
      </c>
      <c r="B15" s="2" t="inlineStr">
        <is>
          <t>4 Jan 1808</t>
        </is>
      </c>
      <c r="C15" s="2" t="inlineStr"/>
      <c r="D15" s="2" t="inlineStr">
        <is>
          <t>Trendelburg</t>
        </is>
      </c>
      <c r="E15" s="2" t="inlineStr">
        <is>
          <t>Johannes (son of J.C. Contze, Grenadier)</t>
        </is>
      </c>
      <c r="F15" s="2" t="inlineStr">
        <is>
          <t>~3.5y</t>
        </is>
      </c>
      <c r="G15" s="2" t="inlineStr">
        <is>
          <t>~1804</t>
        </is>
      </c>
      <c r="H15" s="2" t="inlineStr">
        <is>
          <t>Son of Joh. Christoph Contze (Grenadier)</t>
        </is>
      </c>
      <c r="I15" s="2" t="inlineStr">
        <is>
          <t>Archion 220096 burials</t>
        </is>
      </c>
      <c r="J15" s="2" t="inlineStr">
        <is>
          <t>Image 1205 (§11.23.1)</t>
        </is>
      </c>
      <c r="K15" s="2" t="inlineStr">
        <is>
          <t>Military father.</t>
        </is>
      </c>
    </row>
    <row r="16">
      <c r="A16" s="2" t="n">
        <v>15</v>
      </c>
      <c r="B16" s="2" t="inlineStr">
        <is>
          <t>7 Apr 1810</t>
        </is>
      </c>
      <c r="C16" s="2" t="inlineStr"/>
      <c r="D16" s="2" t="inlineStr">
        <is>
          <t>Trendelburg</t>
        </is>
      </c>
      <c r="E16" s="2" t="inlineStr">
        <is>
          <t>George (son of Joh. George Contze)</t>
        </is>
      </c>
      <c r="F16" s="2" t="inlineStr">
        <is>
          <t>~4 months</t>
        </is>
      </c>
      <c r="G16" s="2" t="inlineStr">
        <is>
          <t>~1809</t>
        </is>
      </c>
      <c r="H16" s="2" t="inlineStr">
        <is>
          <t>Son of Joh. George Contze</t>
        </is>
      </c>
      <c r="I16" s="2" t="inlineStr">
        <is>
          <t>Archion 220096 burials</t>
        </is>
      </c>
      <c r="J16" s="2" t="inlineStr">
        <is>
          <t>Image 1207 (§11.23.1)</t>
        </is>
      </c>
      <c r="K16" s="2" t="inlineStr">
        <is>
          <t>Previously unidentified Contze branch.</t>
        </is>
      </c>
    </row>
    <row r="17">
      <c r="A17" s="2" t="n">
        <v>16</v>
      </c>
      <c r="B17" s="2" t="inlineStr">
        <is>
          <t>13 Oct 1830 (4:30 PM)</t>
        </is>
      </c>
      <c r="C17" s="2" t="inlineStr">
        <is>
          <t>16 Oct 1830</t>
        </is>
      </c>
      <c r="D17" s="2" t="inlineStr">
        <is>
          <t>Trendelburg</t>
        </is>
      </c>
      <c r="E17" s="2" t="inlineStr">
        <is>
          <t>Andreas Kontze (b. 1787, Stammtafel)</t>
        </is>
      </c>
      <c r="F17" s="2" t="inlineStr">
        <is>
          <t>43y</t>
        </is>
      </c>
      <c r="G17" s="2" t="inlineStr">
        <is>
          <t>9 Mar 1787</t>
        </is>
      </c>
      <c r="H17" s="2" t="inlineStr">
        <is>
          <t>Bürger und Ackermann</t>
        </is>
      </c>
      <c r="I17" s="2" t="inlineStr">
        <is>
          <t>Archion 220114, image 682, entry 4; Stammtafel</t>
        </is>
      </c>
      <c r="J17" s="2" t="inlineStr">
        <is>
          <t>§7.5</t>
        </is>
      </c>
      <c r="K17" s="2" t="inlineStr">
        <is>
          <t>Already in Persons sheet (#7).</t>
        </is>
      </c>
    </row>
    <row r="18">
      <c r="A18" s="2" t="n">
        <v>17</v>
      </c>
      <c r="B18" s="2" t="inlineStr">
        <is>
          <t>~1840</t>
        </is>
      </c>
      <c r="C18" s="2" t="inlineStr"/>
      <c r="D18" s="2" t="inlineStr">
        <is>
          <t>Deisel</t>
        </is>
      </c>
      <c r="E18" s="2" t="inlineStr">
        <is>
          <t>Amelia Konze (daughter of Ludwig)</t>
        </is>
      </c>
      <c r="F18" s="2" t="inlineStr">
        <is>
          <t>~4y</t>
        </is>
      </c>
      <c r="G18" s="2" t="inlineStr">
        <is>
          <t>~1836</t>
        </is>
      </c>
      <c r="H18" s="2" t="inlineStr">
        <is>
          <t>Daughter of Ludwig Konze (Ackermann) &amp; Amalie née Mainbrodt</t>
        </is>
      </c>
      <c r="I18" s="2" t="inlineStr">
        <is>
          <t>Deisel burial register 218851</t>
        </is>
      </c>
      <c r="J18" s="2" t="inlineStr">
        <is>
          <t>Entry 311</t>
        </is>
      </c>
      <c r="K18" s="2" t="inlineStr">
        <is>
          <t>Spiegelstraße Nr. 19.</t>
        </is>
      </c>
    </row>
    <row r="19">
      <c r="A19" s="2" t="n">
        <v>18</v>
      </c>
      <c r="B19" s="2" t="inlineStr">
        <is>
          <t>~1841</t>
        </is>
      </c>
      <c r="C19" s="2" t="inlineStr"/>
      <c r="D19" s="2" t="inlineStr">
        <is>
          <t>Deisel</t>
        </is>
      </c>
      <c r="E19" s="2" t="inlineStr">
        <is>
          <t>Maria Wilhelmina Konze (daughter of J.C. Konze)</t>
        </is>
      </c>
      <c r="F19" s="2" t="inlineStr">
        <is>
          <t>~7y</t>
        </is>
      </c>
      <c r="G19" s="2" t="inlineStr">
        <is>
          <t>~1834</t>
        </is>
      </c>
      <c r="H19" s="2" t="inlineStr">
        <is>
          <t>Daughter of Joh. Christoph Konze &amp; Maria née Temme</t>
        </is>
      </c>
      <c r="I19" s="2" t="inlineStr">
        <is>
          <t>Deisel burial register 218851</t>
        </is>
      </c>
      <c r="J19" s="2" t="inlineStr">
        <is>
          <t>Entry 328</t>
        </is>
      </c>
      <c r="K19" s="2" t="inlineStr">
        <is>
          <t>Neuewag Nr. 136.</t>
        </is>
      </c>
    </row>
    <row r="20">
      <c r="A20" s="2" t="n">
        <v>19</v>
      </c>
      <c r="B20" s="2" t="inlineStr">
        <is>
          <t>22 Nov 1841</t>
        </is>
      </c>
      <c r="C20" s="2" t="inlineStr"/>
      <c r="D20" s="2" t="inlineStr">
        <is>
          <t>Deisel</t>
        </is>
      </c>
      <c r="E20" s="2" t="inlineStr">
        <is>
          <t>Konrad Konze</t>
        </is>
      </c>
      <c r="F20" s="2" t="inlineStr">
        <is>
          <t>61y</t>
        </is>
      </c>
      <c r="G20" s="2" t="inlineStr">
        <is>
          <t>16 Oct 1780</t>
        </is>
      </c>
      <c r="H20" s="2" t="inlineStr">
        <is>
          <t>Ackermann. Son of Andreas. 2nd wife: Anna Cath. née Köster</t>
        </is>
      </c>
      <c r="I20" s="2" t="inlineStr">
        <is>
          <t>Deisel burial register 218851</t>
        </is>
      </c>
      <c r="J20" s="2" t="inlineStr">
        <is>
          <t>Entry 358</t>
        </is>
      </c>
      <c r="K20" s="2" t="inlineStr">
        <is>
          <t>Giesenwaldtal.</t>
        </is>
      </c>
    </row>
    <row r="21">
      <c r="A21" s="2" t="n">
        <v>20</v>
      </c>
      <c r="B21" s="2" t="inlineStr">
        <is>
          <t>25 Dec 1841</t>
        </is>
      </c>
      <c r="C21" s="2" t="inlineStr"/>
      <c r="D21" s="2" t="inlineStr">
        <is>
          <t>Deisel</t>
        </is>
      </c>
      <c r="E21" s="2" t="inlineStr">
        <is>
          <t>Anna Catharina Konze née Köster</t>
        </is>
      </c>
      <c r="F21" s="2" t="inlineStr">
        <is>
          <t>~67y</t>
        </is>
      </c>
      <c r="G21" s="2" t="inlineStr">
        <is>
          <t>~1774</t>
        </is>
      </c>
      <c r="H21" s="2" t="inlineStr">
        <is>
          <t>2nd wife of Konrad Konze; widow of Philipp Köster</t>
        </is>
      </c>
      <c r="I21" s="2" t="inlineStr">
        <is>
          <t>Deisel burial register 218851</t>
        </is>
      </c>
      <c r="J21" s="2" t="inlineStr">
        <is>
          <t>Entry 359</t>
        </is>
      </c>
      <c r="K21" s="2" t="inlineStr">
        <is>
          <t>Died 33 days after husband.</t>
        </is>
      </c>
    </row>
    <row r="22">
      <c r="A22" s="2" t="n">
        <v>21</v>
      </c>
      <c r="B22" s="2" t="inlineStr">
        <is>
          <t>~1842</t>
        </is>
      </c>
      <c r="C22" s="2" t="inlineStr"/>
      <c r="D22" s="2" t="inlineStr">
        <is>
          <t>Deisel</t>
        </is>
      </c>
      <c r="E22" s="2" t="inlineStr">
        <is>
          <t>Catharina Elisabeth Konze née Jordan</t>
        </is>
      </c>
      <c r="F22" s="2" t="inlineStr">
        <is>
          <t>~61y</t>
        </is>
      </c>
      <c r="G22" s="2" t="inlineStr">
        <is>
          <t>~1781</t>
        </is>
      </c>
      <c r="H22" s="2" t="inlineStr">
        <is>
          <t>Widow of Sigmund/Justus Konze (Ackermann)</t>
        </is>
      </c>
      <c r="I22" s="2" t="inlineStr">
        <is>
          <t>Deisel burial register 218851</t>
        </is>
      </c>
      <c r="J22" s="2" t="inlineStr">
        <is>
          <t>Entry 379</t>
        </is>
      </c>
      <c r="K22" s="2" t="inlineStr">
        <is>
          <t>Taufstr. Nr. 66.</t>
        </is>
      </c>
    </row>
    <row r="23">
      <c r="A23" s="2" t="n">
        <v>22</v>
      </c>
      <c r="B23" s="2" t="inlineStr">
        <is>
          <t>Nov 1843</t>
        </is>
      </c>
      <c r="C23" s="2" t="inlineStr"/>
      <c r="D23" s="2" t="inlineStr">
        <is>
          <t>Deisel</t>
        </is>
      </c>
      <c r="E23" s="2" t="inlineStr">
        <is>
          <t>Wilhelmina Konze (daughter of Ludwig)</t>
        </is>
      </c>
      <c r="F23" s="2" t="inlineStr">
        <is>
          <t>3y</t>
        </is>
      </c>
      <c r="G23" s="2" t="inlineStr">
        <is>
          <t>28 Oct 1840</t>
        </is>
      </c>
      <c r="H23" s="2" t="inlineStr">
        <is>
          <t>Daughter of Ludwig Konze (Ackermann) &amp; Amalie née Mainbrodt</t>
        </is>
      </c>
      <c r="I23" s="2" t="inlineStr">
        <is>
          <t>Deisel burial register 218851</t>
        </is>
      </c>
      <c r="J23" s="2" t="inlineStr">
        <is>
          <t>Entry 411</t>
        </is>
      </c>
      <c r="K23" s="2" t="inlineStr">
        <is>
          <t>Second daughter to die.</t>
        </is>
      </c>
    </row>
    <row r="24">
      <c r="A24" s="2" t="n">
        <v>23</v>
      </c>
      <c r="B24" s="2" t="inlineStr">
        <is>
          <t>24 Feb 1828</t>
        </is>
      </c>
      <c r="C24" s="2" t="inlineStr"/>
      <c r="D24" s="2" t="inlineStr">
        <is>
          <t>Deisel</t>
        </is>
      </c>
      <c r="E24" s="2" t="inlineStr">
        <is>
          <t>Andreas Konze (Deisel, b. ~1799)</t>
        </is>
      </c>
      <c r="F24" s="2" t="inlineStr">
        <is>
          <t>29y</t>
        </is>
      </c>
      <c r="G24" s="2" t="inlineStr">
        <is>
          <t>~1799</t>
        </is>
      </c>
      <c r="H24" s="2" t="inlineStr">
        <is>
          <t>Unknown</t>
        </is>
      </c>
      <c r="I24" s="2" t="inlineStr">
        <is>
          <t>Deisel records</t>
        </is>
      </c>
      <c r="J24" s="2" t="inlineStr"/>
      <c r="K24" s="2" t="inlineStr">
        <is>
          <t>NOT the Trendelburg Andreas. Different person.</t>
        </is>
      </c>
    </row>
    <row r="25">
      <c r="A25" s="2" t="n">
        <v>24</v>
      </c>
      <c r="B25" s="2" t="inlineStr">
        <is>
          <t>4 Feb 1875</t>
        </is>
      </c>
      <c r="C25" s="2" t="inlineStr"/>
      <c r="D25" s="2" t="inlineStr">
        <is>
          <t>Deisel</t>
        </is>
      </c>
      <c r="E25" s="2" t="inlineStr">
        <is>
          <t>Ludwig Konze (b. 1808)</t>
        </is>
      </c>
      <c r="F25" s="2" t="inlineStr">
        <is>
          <t>66y</t>
        </is>
      </c>
      <c r="G25" s="2" t="inlineStr">
        <is>
          <t>4 Nov 1808</t>
        </is>
      </c>
      <c r="H25" s="2" t="inlineStr">
        <is>
          <t>Son of Johann Henrich line (via Köster wives)</t>
        </is>
      </c>
      <c r="I25" s="2" t="inlineStr">
        <is>
          <t>Deisel burial register 218851</t>
        </is>
      </c>
      <c r="J25" s="2" t="inlineStr">
        <is>
          <t>Entry 146 ref.</t>
        </is>
      </c>
      <c r="K25" s="2" t="inlineStr">
        <is>
          <t>ELIMINATED as Charles Gannsen.</t>
        </is>
      </c>
    </row>
    <row r="26">
      <c r="A26" s="2" t="n">
        <v>25</v>
      </c>
      <c r="B26" s="2" t="inlineStr">
        <is>
          <t>27 Oct 1846</t>
        </is>
      </c>
      <c r="C26" s="2" t="inlineStr"/>
      <c r="D26" s="2" t="inlineStr">
        <is>
          <t>Trendelburg</t>
        </is>
      </c>
      <c r="E26" s="2" t="inlineStr">
        <is>
          <t>Anna Christina Heidt (widow Konze)</t>
        </is>
      </c>
      <c r="F26" s="2" t="inlineStr">
        <is>
          <t>71y</t>
        </is>
      </c>
      <c r="G26" s="2" t="inlineStr">
        <is>
          <t>14 Dec 1774</t>
        </is>
      </c>
      <c r="H26" s="2" t="inlineStr">
        <is>
          <t>Widow of Andreas Konze (b. 1787); prev. married Herwig &amp; Hofmann</t>
        </is>
      </c>
      <c r="I26" s="2" t="inlineStr">
        <is>
          <t>Stammtafel; Archion burial register 220114</t>
        </is>
      </c>
      <c r="J26" s="2" t="inlineStr"/>
      <c r="K26" s="2" t="inlineStr">
        <is>
          <t>Already in Persons sheet (#1). Nexus figure connecting Herwig-Hofmann-Konze families.</t>
        </is>
      </c>
    </row>
  </sheetData>
  <autoFilter ref="A1:K2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7"/>
  <sheetViews>
    <sheetView zoomScale="90" workbookViewId="0">
      <pane ySplit="1" topLeftCell="A2" activePane="bottomLeft" state="frozen"/>
      <selection pane="bottomLeft" activeCell="A1" sqref="A1"/>
    </sheetView>
  </sheetViews>
  <sheetFormatPr baseColWidth="8" defaultRowHeight="15"/>
  <cols>
    <col width="4" customWidth="1" min="1" max="1"/>
    <col width="28" customWidth="1" min="2" max="2"/>
    <col width="20" customWidth="1" min="3" max="3"/>
    <col width="30" customWidth="1" min="4" max="4"/>
    <col width="4" customWidth="1" min="5" max="5"/>
    <col width="40" customWidth="1" min="6" max="6"/>
    <col width="35" customWidth="1" min="7" max="7"/>
    <col width="45" customWidth="1" min="8" max="8"/>
    <col width="30" customWidth="1" min="9" max="9"/>
    <col width="22" customWidth="1" min="10" max="10"/>
    <col width="65" customWidth="1" min="11" max="11"/>
  </cols>
  <sheetData>
    <row r="1">
      <c r="A1" s="1" t="inlineStr">
        <is>
          <t>#</t>
        </is>
      </c>
      <c r="B1" s="1" t="inlineStr">
        <is>
          <t>Birth/Baptism Date</t>
        </is>
      </c>
      <c r="C1" s="1" t="inlineStr">
        <is>
          <t>Place</t>
        </is>
      </c>
      <c r="D1" s="1" t="inlineStr">
        <is>
          <t>Child Name</t>
        </is>
      </c>
      <c r="E1" s="1" t="inlineStr">
        <is>
          <t>Sex</t>
        </is>
      </c>
      <c r="F1" s="1" t="inlineStr">
        <is>
          <t>Father</t>
        </is>
      </c>
      <c r="G1" s="1" t="inlineStr">
        <is>
          <t>Mother</t>
        </is>
      </c>
      <c r="H1" s="1" t="inlineStr">
        <is>
          <t>Godparent(s)</t>
        </is>
      </c>
      <c r="I1" s="1" t="inlineStr">
        <is>
          <t>Register / Source</t>
        </is>
      </c>
      <c r="J1" s="1" t="inlineStr">
        <is>
          <t>Image/Entry</t>
        </is>
      </c>
      <c r="K1" s="1" t="inlineStr">
        <is>
          <t>Notes</t>
        </is>
      </c>
    </row>
    <row r="2">
      <c r="A2" s="2" t="n">
        <v>1</v>
      </c>
      <c r="B2" s="2" t="inlineStr">
        <is>
          <t>~1808</t>
        </is>
      </c>
      <c r="C2" s="2" t="inlineStr">
        <is>
          <t>Trendelburg/Vöhlein</t>
        </is>
      </c>
      <c r="D2" s="2" t="inlineStr">
        <is>
          <t>Joh. Friedrich Conze</t>
        </is>
      </c>
      <c r="E2" s="2" t="inlineStr">
        <is>
          <t>M</t>
        </is>
      </c>
      <c r="F2" s="2" t="inlineStr">
        <is>
          <t>Andreas Contze, Bürger und Ackermann</t>
        </is>
      </c>
      <c r="G2" s="2" t="inlineStr">
        <is>
          <t>Wilhelmine née Grossbernd</t>
        </is>
      </c>
      <c r="H2" s="2" t="inlineStr">
        <is>
          <t>Joh. Friedrich Grossbernd (maternal grandfather)</t>
        </is>
      </c>
      <c r="I2" s="2" t="inlineStr">
        <is>
          <t>Archion 220096</t>
        </is>
      </c>
      <c r="J2" s="2" t="inlineStr">
        <is>
          <t>§11.16</t>
        </is>
      </c>
      <c r="K2" s="2" t="inlineStr">
        <is>
          <t>Named after maternal grandfather. Age 27 in Jan 1835 — candidate father of Charles Gannsen.</t>
        </is>
      </c>
    </row>
    <row r="3">
      <c r="A3" s="2" t="n">
        <v>2</v>
      </c>
      <c r="B3" s="2" t="inlineStr">
        <is>
          <t>~1810</t>
        </is>
      </c>
      <c r="C3" s="2" t="inlineStr">
        <is>
          <t>Trendelburg/Vöhlein</t>
        </is>
      </c>
      <c r="D3" s="2" t="inlineStr">
        <is>
          <t>Anna Maria Conze</t>
        </is>
      </c>
      <c r="E3" s="2" t="inlineStr">
        <is>
          <t>F</t>
        </is>
      </c>
      <c r="F3" s="2" t="inlineStr">
        <is>
          <t>Andreas Contze, Bürger und Ackermann</t>
        </is>
      </c>
      <c r="G3" s="2" t="inlineStr">
        <is>
          <t>Wilhelmine née Grossbernd</t>
        </is>
      </c>
      <c r="H3" s="2" t="inlineStr">
        <is>
          <t>Unknown</t>
        </is>
      </c>
      <c r="I3" s="2" t="inlineStr">
        <is>
          <t>Archion 220096</t>
        </is>
      </c>
      <c r="J3" s="2" t="inlineStr">
        <is>
          <t>§11.16</t>
        </is>
      </c>
      <c r="K3" s="2" t="inlineStr"/>
    </row>
    <row r="4">
      <c r="A4" s="2" t="n">
        <v>3</v>
      </c>
      <c r="B4" s="2" t="inlineStr">
        <is>
          <t>~1812</t>
        </is>
      </c>
      <c r="C4" s="2" t="inlineStr">
        <is>
          <t>Trendelburg/Vöhlein</t>
        </is>
      </c>
      <c r="D4" s="2" t="inlineStr">
        <is>
          <t>Joh. Henrich Conze</t>
        </is>
      </c>
      <c r="E4" s="2" t="inlineStr">
        <is>
          <t>M</t>
        </is>
      </c>
      <c r="F4" s="2" t="inlineStr">
        <is>
          <t>Andreas Contze, Bürger und Ackermann</t>
        </is>
      </c>
      <c r="G4" s="2" t="inlineStr">
        <is>
          <t>Wilhelmine née Grossbernd</t>
        </is>
      </c>
      <c r="H4" s="2" t="inlineStr">
        <is>
          <t>Unknown</t>
        </is>
      </c>
      <c r="I4" s="2" t="inlineStr">
        <is>
          <t>Archion 220096</t>
        </is>
      </c>
      <c r="J4" s="2" t="inlineStr">
        <is>
          <t>§11.16</t>
        </is>
      </c>
      <c r="K4" s="2" t="inlineStr">
        <is>
          <t>Named after Johann Henrich Kontze II.</t>
        </is>
      </c>
    </row>
    <row r="5">
      <c r="A5" s="2" t="n">
        <v>4</v>
      </c>
      <c r="B5" s="2" t="inlineStr">
        <is>
          <t>28 Nov 1814 (bapt. 4 Dec 1814)</t>
        </is>
      </c>
      <c r="C5" s="2" t="inlineStr">
        <is>
          <t>Vöhlein</t>
        </is>
      </c>
      <c r="D5" s="2" t="inlineStr">
        <is>
          <t>Johannes Andreas Conze</t>
        </is>
      </c>
      <c r="E5" s="2" t="inlineStr">
        <is>
          <t>M</t>
        </is>
      </c>
      <c r="F5" s="2" t="inlineStr">
        <is>
          <t>Andreas Conze, Ackermann</t>
        </is>
      </c>
      <c r="G5" s="2" t="inlineStr">
        <is>
          <t>Wilhelmina geb. Grossbernd</t>
        </is>
      </c>
      <c r="H5" s="2" t="inlineStr">
        <is>
          <t>Johs Conze; Johs Conze</t>
        </is>
      </c>
      <c r="I5" s="2" t="inlineStr">
        <is>
          <t>Archion 220096</t>
        </is>
      </c>
      <c r="J5" s="2" t="inlineStr">
        <is>
          <t>Image 1082 (§11.22.1)</t>
        </is>
      </c>
      <c r="K5" s="2" t="inlineStr">
        <is>
          <t>Fourth child. Marginal death note: †~Aug 1894. Lived to ~age 80.</t>
        </is>
      </c>
    </row>
    <row r="6">
      <c r="A6" s="2" t="n">
        <v>5</v>
      </c>
      <c r="B6" s="2" t="inlineStr">
        <is>
          <t>Jan 1809</t>
        </is>
      </c>
      <c r="C6" s="2" t="inlineStr">
        <is>
          <t>Trendelburg</t>
        </is>
      </c>
      <c r="D6" s="2" t="inlineStr">
        <is>
          <t>Christina Wilhelmina Doenges</t>
        </is>
      </c>
      <c r="E6" s="2" t="inlineStr">
        <is>
          <t>F</t>
        </is>
      </c>
      <c r="F6" s="2" t="inlineStr">
        <is>
          <t>Joh. George Doenges (Feinbäcker)</t>
        </is>
      </c>
      <c r="G6" s="2" t="inlineStr">
        <is>
          <t>Anna Catharina geb. Contzin</t>
        </is>
      </c>
      <c r="H6" s="2" t="inlineStr">
        <is>
          <t>Unknown</t>
        </is>
      </c>
      <c r="I6" s="2" t="inlineStr">
        <is>
          <t>Archion 220096</t>
        </is>
      </c>
      <c r="J6" s="2" t="inlineStr">
        <is>
          <t>§11.15.5</t>
        </is>
      </c>
      <c r="K6" s="2" t="inlineStr">
        <is>
          <t>Granddaughter of Johannes Kontze via Anna Catharina.</t>
        </is>
      </c>
    </row>
    <row r="7">
      <c r="A7" s="2" t="n">
        <v>6</v>
      </c>
      <c r="B7" s="2" t="inlineStr">
        <is>
          <t>Nov 1809</t>
        </is>
      </c>
      <c r="C7" s="2" t="inlineStr">
        <is>
          <t>Trendelburg</t>
        </is>
      </c>
      <c r="D7" s="2" t="inlineStr">
        <is>
          <t>Wilhelmina Koch</t>
        </is>
      </c>
      <c r="E7" s="2" t="inlineStr">
        <is>
          <t>F</t>
        </is>
      </c>
      <c r="F7" s="2" t="inlineStr">
        <is>
          <t>Joh. Friedrich Koch (Bürger)</t>
        </is>
      </c>
      <c r="G7" s="2" t="inlineStr">
        <is>
          <t>Anna Christina geb. Contzin</t>
        </is>
      </c>
      <c r="H7" s="2" t="inlineStr">
        <is>
          <t>Unknown</t>
        </is>
      </c>
      <c r="I7" s="2" t="inlineStr">
        <is>
          <t>Archion 220096</t>
        </is>
      </c>
      <c r="J7" s="2" t="inlineStr">
        <is>
          <t>§11.15.5</t>
        </is>
      </c>
      <c r="K7" s="2" t="inlineStr">
        <is>
          <t>Mother's Kontze parentage unknown.</t>
        </is>
      </c>
    </row>
    <row r="8">
      <c r="A8" s="2" t="n">
        <v>7</v>
      </c>
      <c r="B8" s="2" t="inlineStr">
        <is>
          <t>23 Jan 1810</t>
        </is>
      </c>
      <c r="C8" s="2" t="inlineStr">
        <is>
          <t>Trendelburg</t>
        </is>
      </c>
      <c r="D8" s="2" t="inlineStr">
        <is>
          <t>Maria Carolina (illegitimate)</t>
        </is>
      </c>
      <c r="E8" s="2" t="inlineStr">
        <is>
          <t>F</t>
        </is>
      </c>
      <c r="F8" s="2" t="inlineStr">
        <is>
          <t>Unknown (illegitimate)</t>
        </is>
      </c>
      <c r="G8" s="2" t="inlineStr">
        <is>
          <t>Anna Catharina Contzin (unmarried)</t>
        </is>
      </c>
      <c r="H8" s="2" t="inlineStr">
        <is>
          <t>Unknown</t>
        </is>
      </c>
      <c r="I8" s="2" t="inlineStr">
        <is>
          <t>Archion 220096</t>
        </is>
      </c>
      <c r="J8" s="2" t="inlineStr">
        <is>
          <t>p. 169, image 1068 (§11.15.5)</t>
        </is>
      </c>
      <c r="K8" s="2" t="inlineStr">
        <is>
          <t>Illegitimate birth. Mother may be same or different from Anna Catharina who married Doenges.</t>
        </is>
      </c>
    </row>
    <row r="9">
      <c r="A9" s="2" t="n">
        <v>8</v>
      </c>
      <c r="B9" s="2" t="inlineStr">
        <is>
          <t>Oct 1811</t>
        </is>
      </c>
      <c r="C9" s="2" t="inlineStr">
        <is>
          <t>Trendelburg</t>
        </is>
      </c>
      <c r="D9" s="2" t="inlineStr">
        <is>
          <t>Johann Friedrich Doenges</t>
        </is>
      </c>
      <c r="E9" s="2" t="inlineStr">
        <is>
          <t>M</t>
        </is>
      </c>
      <c r="F9" s="2" t="inlineStr">
        <is>
          <t>Joh. George Doenges</t>
        </is>
      </c>
      <c r="G9" s="2" t="inlineStr">
        <is>
          <t>Anna Catharina geb. Contzin</t>
        </is>
      </c>
      <c r="H9" s="2" t="inlineStr">
        <is>
          <t>Unknown</t>
        </is>
      </c>
      <c r="I9" s="2" t="inlineStr">
        <is>
          <t>Archion 220096</t>
        </is>
      </c>
      <c r="J9" s="2" t="inlineStr">
        <is>
          <t>§11.15.5</t>
        </is>
      </c>
      <c r="K9" s="2" t="inlineStr">
        <is>
          <t>Died 1877.</t>
        </is>
      </c>
    </row>
    <row r="10">
      <c r="A10" s="2" t="n">
        <v>9</v>
      </c>
      <c r="B10" s="2" t="inlineStr">
        <is>
          <t>1812</t>
        </is>
      </c>
      <c r="C10" s="2" t="inlineStr">
        <is>
          <t>Trendelburg</t>
        </is>
      </c>
      <c r="D10" s="2" t="inlineStr">
        <is>
          <t>Maria Elisabeth Albrecht</t>
        </is>
      </c>
      <c r="E10" s="2" t="inlineStr">
        <is>
          <t>F</t>
        </is>
      </c>
      <c r="F10" s="2" t="inlineStr">
        <is>
          <t>Johannes Albrecht (Schuhmacher)</t>
        </is>
      </c>
      <c r="G10" s="2" t="inlineStr">
        <is>
          <t>Anna Margaretha geb. Contzin</t>
        </is>
      </c>
      <c r="H10" s="2" t="inlineStr">
        <is>
          <t>Unknown</t>
        </is>
      </c>
      <c r="I10" s="2" t="inlineStr">
        <is>
          <t>Archion 220096</t>
        </is>
      </c>
      <c r="J10" s="2" t="inlineStr">
        <is>
          <t>§11.15.5</t>
        </is>
      </c>
      <c r="K10" s="2" t="inlineStr">
        <is>
          <t>Died 1887.</t>
        </is>
      </c>
    </row>
    <row r="11">
      <c r="A11" s="2" t="n">
        <v>10</v>
      </c>
      <c r="B11" s="2" t="inlineStr">
        <is>
          <t>Oct 1816</t>
        </is>
      </c>
      <c r="C11" s="2" t="inlineStr">
        <is>
          <t>Trendelburg</t>
        </is>
      </c>
      <c r="D11" s="2" t="inlineStr">
        <is>
          <t>Maria Carolina Doenges</t>
        </is>
      </c>
      <c r="E11" s="2" t="inlineStr">
        <is>
          <t>F</t>
        </is>
      </c>
      <c r="F11" s="2" t="inlineStr">
        <is>
          <t>Joh. George Doenges</t>
        </is>
      </c>
      <c r="G11" s="2" t="inlineStr">
        <is>
          <t>Anna Catharina geb. Contzin</t>
        </is>
      </c>
      <c r="H11" s="2" t="inlineStr">
        <is>
          <t>Unknown</t>
        </is>
      </c>
      <c r="I11" s="2" t="inlineStr">
        <is>
          <t>Archion 220096</t>
        </is>
      </c>
      <c r="J11" s="2" t="inlineStr">
        <is>
          <t>§11.15.5</t>
        </is>
      </c>
      <c r="K11" s="2" t="inlineStr">
        <is>
          <t>Third child of Doenges-Contzin couple.</t>
        </is>
      </c>
    </row>
    <row r="12">
      <c r="A12" s="2" t="n">
        <v>11</v>
      </c>
      <c r="B12" s="2" t="inlineStr">
        <is>
          <t>1817 (twins)</t>
        </is>
      </c>
      <c r="C12" s="2" t="inlineStr">
        <is>
          <t>Trendelburg</t>
        </is>
      </c>
      <c r="D12" s="2" t="inlineStr">
        <is>
          <t>Friedrich Wilhelm Heid (+ twin)</t>
        </is>
      </c>
      <c r="E12" s="2" t="inlineStr">
        <is>
          <t>M</t>
        </is>
      </c>
      <c r="F12" s="2" t="inlineStr">
        <is>
          <t>Hermann Heid</t>
        </is>
      </c>
      <c r="G12" s="2" t="inlineStr">
        <is>
          <t>Catharina Elisabeth née Conzin</t>
        </is>
      </c>
      <c r="H12" s="2" t="inlineStr">
        <is>
          <t>Andreas Conze (godfather for Friedrich Wilhelm)</t>
        </is>
      </c>
      <c r="I12" s="2" t="inlineStr">
        <is>
          <t>Archion 220096</t>
        </is>
      </c>
      <c r="J12" s="2" t="inlineStr">
        <is>
          <t>Image 1089 (§11.22.2)</t>
        </is>
      </c>
      <c r="K12" s="2" t="inlineStr">
        <is>
          <t>Andreas Conze as godfather confirms Cath. Elisabeth is his SISTER. Friedrich Wilhelm died 1817.</t>
        </is>
      </c>
    </row>
    <row r="13">
      <c r="A13" s="2" t="n">
        <v>12</v>
      </c>
      <c r="B13" s="2" t="inlineStr">
        <is>
          <t>Unknown (1830-1861)</t>
        </is>
      </c>
      <c r="C13" s="2" t="inlineStr">
        <is>
          <t>Deisel</t>
        </is>
      </c>
      <c r="D13" s="2" t="inlineStr">
        <is>
          <t>Heinrich Konze</t>
        </is>
      </c>
      <c r="E13" s="2" t="inlineStr">
        <is>
          <t>M</t>
        </is>
      </c>
      <c r="F13" s="2" t="inlineStr">
        <is>
          <t>Unknown</t>
        </is>
      </c>
      <c r="G13" s="2" t="inlineStr">
        <is>
          <t>Unknown</t>
        </is>
      </c>
      <c r="H13" s="2" t="inlineStr">
        <is>
          <t>Unknown</t>
        </is>
      </c>
      <c r="I13" s="2" t="inlineStr">
        <is>
          <t>Deisel Taufen 218842</t>
        </is>
      </c>
      <c r="J13" s="2" t="inlineStr">
        <is>
          <t>Index: p. 185</t>
        </is>
      </c>
      <c r="K13" s="2" t="inlineStr">
        <is>
          <t>From Deisel baptism index, K section.</t>
        </is>
      </c>
    </row>
    <row r="14">
      <c r="A14" s="2" t="n">
        <v>13</v>
      </c>
      <c r="B14" s="2" t="inlineStr">
        <is>
          <t>Unknown (1830-1861)</t>
        </is>
      </c>
      <c r="C14" s="2" t="inlineStr">
        <is>
          <t>Deisel</t>
        </is>
      </c>
      <c r="D14" s="2" t="inlineStr">
        <is>
          <t>Heinrich Konze</t>
        </is>
      </c>
      <c r="E14" s="2" t="inlineStr">
        <is>
          <t>M</t>
        </is>
      </c>
      <c r="F14" s="2" t="inlineStr">
        <is>
          <t>Unknown</t>
        </is>
      </c>
      <c r="G14" s="2" t="inlineStr">
        <is>
          <t>Unknown</t>
        </is>
      </c>
      <c r="H14" s="2" t="inlineStr">
        <is>
          <t>Unknown</t>
        </is>
      </c>
      <c r="I14" s="2" t="inlineStr">
        <is>
          <t>Deisel Taufen 218842</t>
        </is>
      </c>
      <c r="J14" s="2" t="inlineStr">
        <is>
          <t>Index: p. 222</t>
        </is>
      </c>
      <c r="K14" s="2" t="inlineStr">
        <is>
          <t>Second Heinrich Konze entry — different page, likely different child.</t>
        </is>
      </c>
    </row>
    <row r="15">
      <c r="A15" s="2" t="n">
        <v>14</v>
      </c>
      <c r="B15" s="2" t="inlineStr">
        <is>
          <t>Unknown (1830-1861)</t>
        </is>
      </c>
      <c r="C15" s="2" t="inlineStr">
        <is>
          <t>Deisel</t>
        </is>
      </c>
      <c r="D15" s="2" t="inlineStr">
        <is>
          <t>Ludwig Konze</t>
        </is>
      </c>
      <c r="E15" s="2" t="inlineStr">
        <is>
          <t>M</t>
        </is>
      </c>
      <c r="F15" s="2" t="inlineStr">
        <is>
          <t>Unknown</t>
        </is>
      </c>
      <c r="G15" s="2" t="inlineStr">
        <is>
          <t>Unknown</t>
        </is>
      </c>
      <c r="H15" s="2" t="inlineStr">
        <is>
          <t>Unknown</t>
        </is>
      </c>
      <c r="I15" s="2" t="inlineStr">
        <is>
          <t>Deisel Taufen 218842</t>
        </is>
      </c>
      <c r="J15" s="2" t="inlineStr">
        <is>
          <t>Index: p. 268</t>
        </is>
      </c>
      <c r="K15" s="2" t="inlineStr">
        <is>
          <t>From Deisel baptism index, K section.</t>
        </is>
      </c>
    </row>
    <row r="16">
      <c r="A16" s="2" t="n">
        <v>15</v>
      </c>
      <c r="B16" s="2" t="inlineStr">
        <is>
          <t>9 Mar 1787 (between 11AM-noon)</t>
        </is>
      </c>
      <c r="C16" s="2" t="inlineStr">
        <is>
          <t>Trendelburg</t>
        </is>
      </c>
      <c r="D16" s="2" t="inlineStr">
        <is>
          <t>Andreas Kontze</t>
        </is>
      </c>
      <c r="E16" s="2" t="inlineStr">
        <is>
          <t>M</t>
        </is>
      </c>
      <c r="F16" s="2" t="inlineStr">
        <is>
          <t>Johann Henrich Contze (per baptism record) / Johann Friedrich Kontze (corrected per §11.15.1)</t>
        </is>
      </c>
      <c r="G16" s="2" t="inlineStr">
        <is>
          <t>Anna Catharina née Asthermann (per baptism record)</t>
        </is>
      </c>
      <c r="H16" s="2" t="inlineStr">
        <is>
          <t>Andreas Kontze of Stammen (father's half-brother); Johanneß Kontza, Bürger und Ackermann</t>
        </is>
      </c>
      <c r="I16" s="2" t="inlineStr">
        <is>
          <t>Archion 220096</t>
        </is>
      </c>
      <c r="J16" s="2" t="inlineStr">
        <is>
          <t>§11.1</t>
        </is>
      </c>
      <c r="K16" s="2" t="inlineStr">
        <is>
          <t>Crucial record. Parentage debated between marriage entry (Johann Henrich) and later baptism evidence (Johann Friedrich).</t>
        </is>
      </c>
    </row>
    <row r="17">
      <c r="A17" s="2" t="n">
        <v>16</v>
      </c>
      <c r="B17" s="2" t="inlineStr">
        <is>
          <t>Easter (5 Apr) 1801 — CONFIRMATION</t>
        </is>
      </c>
      <c r="C17" s="2" t="inlineStr">
        <is>
          <t>Trendelburg</t>
        </is>
      </c>
      <c r="D17" s="2" t="inlineStr">
        <is>
          <t>Andreas Kontze (confirmation, not baptism)</t>
        </is>
      </c>
      <c r="E17" s="2" t="inlineStr">
        <is>
          <t>M</t>
        </is>
      </c>
      <c r="F17" s="2" t="inlineStr">
        <is>
          <t>Joh. Henrich Contze, Bürger u. Ackermann</t>
        </is>
      </c>
      <c r="G17" s="2" t="inlineStr"/>
      <c r="H17" s="2" t="inlineStr"/>
      <c r="I17" s="2" t="inlineStr">
        <is>
          <t>Archion 220096</t>
        </is>
      </c>
      <c r="J17" s="2" t="inlineStr">
        <is>
          <t>Image 1117, p. 257 (§11.11.2)</t>
        </is>
      </c>
      <c r="K17" s="2" t="inlineStr">
        <is>
          <t>First boy in 1801 confirmation class. Age 14y 4wk less 3d. Father alive (no 'veiland'). Born 9 Mar 1787.</t>
        </is>
      </c>
    </row>
  </sheetData>
  <autoFilter ref="A1:K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2026-04-04T21:23:55Z</dcterms:created>
  <dcterms:modified xmlns:dcterms="http://purl.org/dc/terms/" xmlns:xsi="http://www.w3.org/2001/XMLSchema-instance" xsi:type="dcterms:W3CDTF">2026-04-04T22:48:18Z</dcterms:modified>
</cp:coreProperties>
</file>